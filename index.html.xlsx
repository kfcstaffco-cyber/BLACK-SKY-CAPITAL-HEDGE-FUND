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3" documentId="11_73494F5BBC311D3839246486F19BF02F579B09E6" xr6:coauthVersionLast="47" xr6:coauthVersionMax="47" xr10:uidLastSave="{66397A7D-0708-4B27-ACAF-C9A5ECDCBF49}"/>
  <bookViews>
    <workbookView xWindow="0" yWindow="0" windowWidth="0" windowHeight="0" activeTab="1" xr2:uid="{00000000-000D-0000-FFFF-FFFF00000000}"/>
  </bookViews>
  <sheets>
    <sheet name="Transaction Log" sheetId="1" r:id="rId1"/>
    <sheet name="Positions" sheetId="2" r:id="rId2"/>
    <sheet name="Investor Withdrawals" sheetId="3" r:id="rId3"/>
    <sheet name="Fund Measures" sheetId="4" r:id="rId4"/>
    <sheet name="Fund Summary" sheetId="5" r:id="rId5"/>
    <sheet name="Multi" sheetId="6" r:id="rId6"/>
    <sheet name="Instruc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4" l="1"/>
  <c r="C28" i="4"/>
  <c r="A12" i="6"/>
  <c r="A11" i="6"/>
  <c r="A10" i="6"/>
  <c r="A9" i="6"/>
  <c r="A8" i="6"/>
  <c r="A7" i="6"/>
  <c r="A6" i="6"/>
  <c r="A5" i="6"/>
  <c r="D25" i="5"/>
  <c r="C25" i="5"/>
  <c r="D24" i="5"/>
  <c r="C24" i="5"/>
  <c r="C13" i="5"/>
  <c r="C12" i="5"/>
  <c r="C10" i="5"/>
  <c r="C9" i="5"/>
  <c r="C6" i="5"/>
  <c r="C5" i="5"/>
  <c r="C21" i="4"/>
  <c r="C5" i="4"/>
  <c r="D1" i="4"/>
  <c r="R55" i="3"/>
  <c r="I55" i="3"/>
  <c r="H55" i="3"/>
  <c r="J55" i="3" s="1"/>
  <c r="E55" i="3"/>
  <c r="R54" i="3"/>
  <c r="I54" i="3"/>
  <c r="H54" i="3"/>
  <c r="J54" i="3" s="1"/>
  <c r="E54" i="3"/>
  <c r="R53" i="3"/>
  <c r="I53" i="3"/>
  <c r="H53" i="3"/>
  <c r="J53" i="3" s="1"/>
  <c r="E53" i="3"/>
  <c r="R52" i="3"/>
  <c r="I52" i="3"/>
  <c r="H52" i="3"/>
  <c r="J52" i="3" s="1"/>
  <c r="E52" i="3"/>
  <c r="R51" i="3"/>
  <c r="I51" i="3"/>
  <c r="H51" i="3"/>
  <c r="J51" i="3" s="1"/>
  <c r="E51" i="3"/>
  <c r="R50" i="3"/>
  <c r="I50" i="3"/>
  <c r="H50" i="3"/>
  <c r="J50" i="3" s="1"/>
  <c r="E50" i="3"/>
  <c r="R49" i="3"/>
  <c r="I49" i="3"/>
  <c r="H49" i="3"/>
  <c r="J49" i="3" s="1"/>
  <c r="E49" i="3"/>
  <c r="R48" i="3"/>
  <c r="I48" i="3"/>
  <c r="H48" i="3"/>
  <c r="J48" i="3" s="1"/>
  <c r="E48" i="3"/>
  <c r="R47" i="3"/>
  <c r="I47" i="3"/>
  <c r="H47" i="3"/>
  <c r="J47" i="3" s="1"/>
  <c r="E47" i="3"/>
  <c r="R46" i="3"/>
  <c r="I46" i="3"/>
  <c r="H46" i="3"/>
  <c r="J46" i="3" s="1"/>
  <c r="E46" i="3"/>
  <c r="R45" i="3"/>
  <c r="I45" i="3"/>
  <c r="H45" i="3"/>
  <c r="J45" i="3" s="1"/>
  <c r="E45" i="3"/>
  <c r="R44" i="3"/>
  <c r="I44" i="3"/>
  <c r="H44" i="3"/>
  <c r="J44" i="3" s="1"/>
  <c r="E44" i="3"/>
  <c r="R43" i="3"/>
  <c r="I43" i="3"/>
  <c r="H43" i="3"/>
  <c r="J43" i="3" s="1"/>
  <c r="E43" i="3"/>
  <c r="R42" i="3"/>
  <c r="I42" i="3"/>
  <c r="H42" i="3"/>
  <c r="J42" i="3" s="1"/>
  <c r="E42" i="3"/>
  <c r="R41" i="3"/>
  <c r="I41" i="3"/>
  <c r="H41" i="3"/>
  <c r="J41" i="3" s="1"/>
  <c r="E41" i="3"/>
  <c r="R40" i="3"/>
  <c r="I40" i="3"/>
  <c r="H40" i="3"/>
  <c r="J40" i="3" s="1"/>
  <c r="E40" i="3"/>
  <c r="R39" i="3"/>
  <c r="I39" i="3"/>
  <c r="H39" i="3"/>
  <c r="J39" i="3" s="1"/>
  <c r="E39" i="3"/>
  <c r="R38" i="3"/>
  <c r="I38" i="3"/>
  <c r="H38" i="3"/>
  <c r="J38" i="3" s="1"/>
  <c r="E38" i="3"/>
  <c r="R37" i="3"/>
  <c r="I37" i="3"/>
  <c r="H37" i="3"/>
  <c r="J37" i="3" s="1"/>
  <c r="E37" i="3"/>
  <c r="R36" i="3"/>
  <c r="I36" i="3"/>
  <c r="H36" i="3"/>
  <c r="J36" i="3" s="1"/>
  <c r="E36" i="3"/>
  <c r="R35" i="3"/>
  <c r="I35" i="3"/>
  <c r="H35" i="3"/>
  <c r="J35" i="3" s="1"/>
  <c r="E35" i="3"/>
  <c r="R34" i="3"/>
  <c r="I34" i="3"/>
  <c r="H34" i="3"/>
  <c r="J34" i="3" s="1"/>
  <c r="E34" i="3"/>
  <c r="R33" i="3"/>
  <c r="I33" i="3"/>
  <c r="H33" i="3"/>
  <c r="J33" i="3" s="1"/>
  <c r="E33" i="3"/>
  <c r="R32" i="3"/>
  <c r="I32" i="3"/>
  <c r="H32" i="3"/>
  <c r="J32" i="3" s="1"/>
  <c r="E32" i="3"/>
  <c r="R31" i="3"/>
  <c r="I31" i="3"/>
  <c r="H31" i="3"/>
  <c r="J31" i="3" s="1"/>
  <c r="E31" i="3"/>
  <c r="R30" i="3"/>
  <c r="I30" i="3"/>
  <c r="H30" i="3"/>
  <c r="J30" i="3" s="1"/>
  <c r="E30" i="3"/>
  <c r="R29" i="3"/>
  <c r="I29" i="3"/>
  <c r="H29" i="3"/>
  <c r="J29" i="3" s="1"/>
  <c r="E29" i="3"/>
  <c r="R28" i="3"/>
  <c r="I28" i="3"/>
  <c r="H28" i="3"/>
  <c r="J28" i="3" s="1"/>
  <c r="E28" i="3"/>
  <c r="R27" i="3"/>
  <c r="I27" i="3"/>
  <c r="H27" i="3"/>
  <c r="J27" i="3" s="1"/>
  <c r="E27" i="3"/>
  <c r="R26" i="3"/>
  <c r="I26" i="3"/>
  <c r="H26" i="3"/>
  <c r="J26" i="3" s="1"/>
  <c r="E26" i="3"/>
  <c r="R25" i="3"/>
  <c r="I25" i="3"/>
  <c r="H25" i="3"/>
  <c r="J25" i="3" s="1"/>
  <c r="E25" i="3"/>
  <c r="R24" i="3"/>
  <c r="I24" i="3"/>
  <c r="H24" i="3"/>
  <c r="J24" i="3" s="1"/>
  <c r="E24" i="3"/>
  <c r="R23" i="3"/>
  <c r="I23" i="3"/>
  <c r="H23" i="3"/>
  <c r="J23" i="3" s="1"/>
  <c r="E23" i="3"/>
  <c r="R22" i="3"/>
  <c r="I22" i="3"/>
  <c r="H22" i="3"/>
  <c r="J22" i="3" s="1"/>
  <c r="E22" i="3"/>
  <c r="R21" i="3"/>
  <c r="I21" i="3"/>
  <c r="H21" i="3"/>
  <c r="J21" i="3" s="1"/>
  <c r="E21" i="3"/>
  <c r="R20" i="3"/>
  <c r="I20" i="3"/>
  <c r="H20" i="3"/>
  <c r="J20" i="3" s="1"/>
  <c r="E20" i="3"/>
  <c r="R19" i="3"/>
  <c r="I19" i="3"/>
  <c r="H19" i="3"/>
  <c r="J19" i="3" s="1"/>
  <c r="E19" i="3"/>
  <c r="R18" i="3"/>
  <c r="I18" i="3"/>
  <c r="H18" i="3"/>
  <c r="J18" i="3" s="1"/>
  <c r="E18" i="3"/>
  <c r="R17" i="3"/>
  <c r="I17" i="3"/>
  <c r="H17" i="3"/>
  <c r="J17" i="3" s="1"/>
  <c r="E17" i="3"/>
  <c r="R16" i="3"/>
  <c r="I16" i="3"/>
  <c r="H16" i="3"/>
  <c r="J16" i="3" s="1"/>
  <c r="E16" i="3"/>
  <c r="R15" i="3"/>
  <c r="I15" i="3"/>
  <c r="H15" i="3"/>
  <c r="J15" i="3" s="1"/>
  <c r="E15" i="3"/>
  <c r="R14" i="3"/>
  <c r="I14" i="3"/>
  <c r="H14" i="3"/>
  <c r="J14" i="3" s="1"/>
  <c r="E14" i="3"/>
  <c r="R13" i="3"/>
  <c r="I13" i="3"/>
  <c r="H13" i="3"/>
  <c r="J13" i="3" s="1"/>
  <c r="E13" i="3"/>
  <c r="R12" i="3"/>
  <c r="I12" i="3"/>
  <c r="H12" i="3"/>
  <c r="J12" i="3" s="1"/>
  <c r="E12" i="3"/>
  <c r="R11" i="3"/>
  <c r="I11" i="3"/>
  <c r="H11" i="3"/>
  <c r="J11" i="3" s="1"/>
  <c r="E11" i="3"/>
  <c r="R10" i="3"/>
  <c r="I10" i="3"/>
  <c r="H10" i="3"/>
  <c r="J10" i="3" s="1"/>
  <c r="E10" i="3"/>
  <c r="R9" i="3"/>
  <c r="I9" i="3"/>
  <c r="H9" i="3"/>
  <c r="J9" i="3" s="1"/>
  <c r="E9" i="3"/>
  <c r="R8" i="3"/>
  <c r="I8" i="3"/>
  <c r="H8" i="3"/>
  <c r="J8" i="3" s="1"/>
  <c r="E8" i="3"/>
  <c r="N7" i="3"/>
  <c r="I7" i="3"/>
  <c r="H7" i="3"/>
  <c r="J7" i="3" s="1"/>
  <c r="E7" i="3"/>
  <c r="R6" i="3"/>
  <c r="I6" i="3"/>
  <c r="H6" i="3"/>
  <c r="J6" i="3" s="1"/>
  <c r="E6" i="3"/>
  <c r="AH30" i="2"/>
  <c r="AG30" i="2"/>
  <c r="AF30" i="2"/>
  <c r="AD30" i="2"/>
  <c r="AE30" i="2" s="1"/>
  <c r="AC30" i="2"/>
  <c r="AA30" i="2"/>
  <c r="Z30" i="2"/>
  <c r="Y30" i="2"/>
  <c r="X30" i="2"/>
  <c r="U30" i="2"/>
  <c r="Q30" i="2"/>
  <c r="R30" i="2" s="1"/>
  <c r="P30" i="2"/>
  <c r="N30" i="2"/>
  <c r="L30" i="2"/>
  <c r="K30" i="2"/>
  <c r="J30" i="2"/>
  <c r="A30" i="2"/>
  <c r="AH29" i="2"/>
  <c r="AG29" i="2"/>
  <c r="AF29" i="2"/>
  <c r="AD29" i="2"/>
  <c r="AE29" i="2" s="1"/>
  <c r="AC29" i="2"/>
  <c r="C16" i="4" s="1"/>
  <c r="AA29" i="2"/>
  <c r="Z29" i="2"/>
  <c r="Y29" i="2"/>
  <c r="X29" i="2"/>
  <c r="U29" i="2"/>
  <c r="Q29" i="2"/>
  <c r="P29" i="2"/>
  <c r="N29" i="2"/>
  <c r="L29" i="2"/>
  <c r="K29" i="2"/>
  <c r="J29" i="2"/>
  <c r="A29" i="2"/>
  <c r="AH28" i="2"/>
  <c r="AG28" i="2"/>
  <c r="AF28" i="2"/>
  <c r="AD28" i="2"/>
  <c r="AE28" i="2" s="1"/>
  <c r="AC28" i="2"/>
  <c r="AA28" i="2"/>
  <c r="Z28" i="2"/>
  <c r="Y28" i="2"/>
  <c r="X28" i="2"/>
  <c r="U28" i="2"/>
  <c r="Q28" i="2"/>
  <c r="R28" i="2" s="1"/>
  <c r="P28" i="2"/>
  <c r="N28" i="2"/>
  <c r="L28" i="2"/>
  <c r="K28" i="2"/>
  <c r="J28" i="2"/>
  <c r="A28" i="2"/>
  <c r="AH27" i="2"/>
  <c r="AG27" i="2"/>
  <c r="AF27" i="2"/>
  <c r="AD27" i="2"/>
  <c r="AE27" i="2" s="1"/>
  <c r="AC27" i="2"/>
  <c r="AA27" i="2"/>
  <c r="Z27" i="2"/>
  <c r="Y27" i="2"/>
  <c r="X27" i="2"/>
  <c r="U27" i="2"/>
  <c r="Q27" i="2"/>
  <c r="R27" i="2" s="1"/>
  <c r="P27" i="2"/>
  <c r="N27" i="2"/>
  <c r="L27" i="2"/>
  <c r="K27" i="2"/>
  <c r="J27" i="2"/>
  <c r="A27" i="2"/>
  <c r="AH26" i="2"/>
  <c r="AG26" i="2"/>
  <c r="AF26" i="2"/>
  <c r="AD26" i="2"/>
  <c r="AE26" i="2" s="1"/>
  <c r="AC26" i="2"/>
  <c r="AA26" i="2"/>
  <c r="Z26" i="2"/>
  <c r="Y26" i="2"/>
  <c r="X26" i="2"/>
  <c r="U26" i="2"/>
  <c r="Q26" i="2"/>
  <c r="R26" i="2" s="1"/>
  <c r="P26" i="2"/>
  <c r="N26" i="2"/>
  <c r="L26" i="2"/>
  <c r="K26" i="2"/>
  <c r="J26" i="2"/>
  <c r="A26" i="2"/>
  <c r="AH25" i="2"/>
  <c r="AG25" i="2"/>
  <c r="AF25" i="2"/>
  <c r="AD25" i="2"/>
  <c r="AE25" i="2" s="1"/>
  <c r="AC25" i="2"/>
  <c r="AA25" i="2"/>
  <c r="Z25" i="2"/>
  <c r="Y25" i="2"/>
  <c r="X25" i="2"/>
  <c r="U25" i="2"/>
  <c r="Q25" i="2"/>
  <c r="R25" i="2" s="1"/>
  <c r="P25" i="2"/>
  <c r="N25" i="2"/>
  <c r="L25" i="2"/>
  <c r="K25" i="2"/>
  <c r="J25" i="2"/>
  <c r="A25" i="2"/>
  <c r="AH24" i="2"/>
  <c r="AG24" i="2"/>
  <c r="AF24" i="2"/>
  <c r="AD24" i="2"/>
  <c r="AE24" i="2" s="1"/>
  <c r="AC24" i="2"/>
  <c r="AA24" i="2"/>
  <c r="Z24" i="2"/>
  <c r="Y24" i="2"/>
  <c r="X24" i="2"/>
  <c r="U24" i="2"/>
  <c r="Q24" i="2"/>
  <c r="R24" i="2" s="1"/>
  <c r="P24" i="2"/>
  <c r="N24" i="2"/>
  <c r="L24" i="2"/>
  <c r="K24" i="2"/>
  <c r="J24" i="2"/>
  <c r="A24" i="2"/>
  <c r="AH23" i="2"/>
  <c r="AG23" i="2"/>
  <c r="AF23" i="2"/>
  <c r="AD23" i="2"/>
  <c r="AE23" i="2" s="1"/>
  <c r="AC23" i="2"/>
  <c r="AA23" i="2"/>
  <c r="Z23" i="2"/>
  <c r="Y23" i="2"/>
  <c r="X23" i="2"/>
  <c r="U23" i="2"/>
  <c r="Q23" i="2"/>
  <c r="R23" i="2" s="1"/>
  <c r="P23" i="2"/>
  <c r="N23" i="2"/>
  <c r="L23" i="2"/>
  <c r="K23" i="2"/>
  <c r="J23" i="2"/>
  <c r="A23" i="2"/>
  <c r="AH22" i="2"/>
  <c r="AG22" i="2"/>
  <c r="AF22" i="2"/>
  <c r="AD22" i="2"/>
  <c r="AE22" i="2" s="1"/>
  <c r="AC22" i="2"/>
  <c r="AA22" i="2"/>
  <c r="Z22" i="2"/>
  <c r="Y22" i="2"/>
  <c r="X22" i="2"/>
  <c r="U22" i="2"/>
  <c r="Q22" i="2"/>
  <c r="R22" i="2" s="1"/>
  <c r="P22" i="2"/>
  <c r="N22" i="2"/>
  <c r="L22" i="2"/>
  <c r="K22" i="2"/>
  <c r="J22" i="2"/>
  <c r="A22" i="2"/>
  <c r="AH21" i="2"/>
  <c r="AG21" i="2"/>
  <c r="AF21" i="2"/>
  <c r="AD21" i="2"/>
  <c r="AE21" i="2" s="1"/>
  <c r="AC21" i="2"/>
  <c r="AA21" i="2"/>
  <c r="Z21" i="2"/>
  <c r="Y21" i="2"/>
  <c r="X21" i="2"/>
  <c r="U21" i="2"/>
  <c r="Q21" i="2"/>
  <c r="R21" i="2" s="1"/>
  <c r="P21" i="2"/>
  <c r="N21" i="2"/>
  <c r="L21" i="2"/>
  <c r="K21" i="2"/>
  <c r="J21" i="2"/>
  <c r="A21" i="2"/>
  <c r="AH20" i="2"/>
  <c r="AG20" i="2"/>
  <c r="AF20" i="2"/>
  <c r="AD20" i="2"/>
  <c r="AE20" i="2" s="1"/>
  <c r="AC20" i="2"/>
  <c r="AA20" i="2"/>
  <c r="Z20" i="2"/>
  <c r="Y20" i="2"/>
  <c r="X20" i="2"/>
  <c r="U20" i="2"/>
  <c r="Q20" i="2"/>
  <c r="R20" i="2" s="1"/>
  <c r="P20" i="2"/>
  <c r="N20" i="2"/>
  <c r="L20" i="2"/>
  <c r="K20" i="2"/>
  <c r="J20" i="2"/>
  <c r="A20" i="2"/>
  <c r="AH19" i="2"/>
  <c r="AG19" i="2"/>
  <c r="AF19" i="2"/>
  <c r="AD19" i="2"/>
  <c r="AE19" i="2" s="1"/>
  <c r="AC19" i="2"/>
  <c r="AA19" i="2"/>
  <c r="Z19" i="2"/>
  <c r="Y19" i="2"/>
  <c r="X19" i="2"/>
  <c r="U19" i="2"/>
  <c r="Q19" i="2"/>
  <c r="R19" i="2" s="1"/>
  <c r="P19" i="2"/>
  <c r="N19" i="2"/>
  <c r="L19" i="2"/>
  <c r="K19" i="2"/>
  <c r="J19" i="2"/>
  <c r="A19" i="2"/>
  <c r="AH18" i="2"/>
  <c r="AG18" i="2"/>
  <c r="AF18" i="2"/>
  <c r="AD18" i="2"/>
  <c r="AE18" i="2" s="1"/>
  <c r="AC18" i="2"/>
  <c r="AA18" i="2"/>
  <c r="Z18" i="2"/>
  <c r="Y18" i="2"/>
  <c r="X18" i="2"/>
  <c r="U18" i="2"/>
  <c r="Q18" i="2"/>
  <c r="R18" i="2" s="1"/>
  <c r="P18" i="2"/>
  <c r="N18" i="2"/>
  <c r="L18" i="2"/>
  <c r="K18" i="2"/>
  <c r="J18" i="2"/>
  <c r="A18" i="2"/>
  <c r="AH17" i="2"/>
  <c r="AG17" i="2"/>
  <c r="AF17" i="2"/>
  <c r="AD17" i="2"/>
  <c r="AE17" i="2" s="1"/>
  <c r="AC17" i="2"/>
  <c r="AA17" i="2"/>
  <c r="Z17" i="2"/>
  <c r="Y17" i="2"/>
  <c r="X17" i="2"/>
  <c r="U17" i="2"/>
  <c r="Q17" i="2"/>
  <c r="R17" i="2" s="1"/>
  <c r="P17" i="2"/>
  <c r="N17" i="2"/>
  <c r="L17" i="2"/>
  <c r="K17" i="2"/>
  <c r="J17" i="2"/>
  <c r="A17" i="2"/>
  <c r="AH16" i="2"/>
  <c r="AG16" i="2"/>
  <c r="AF16" i="2"/>
  <c r="AD16" i="2"/>
  <c r="AE16" i="2" s="1"/>
  <c r="AC16" i="2"/>
  <c r="AA16" i="2"/>
  <c r="Z16" i="2"/>
  <c r="Y16" i="2"/>
  <c r="X16" i="2"/>
  <c r="U16" i="2"/>
  <c r="Q16" i="2"/>
  <c r="R16" i="2" s="1"/>
  <c r="P16" i="2"/>
  <c r="N16" i="2"/>
  <c r="L16" i="2"/>
  <c r="K16" i="2"/>
  <c r="J16" i="2"/>
  <c r="A16" i="2"/>
  <c r="AH15" i="2"/>
  <c r="AG15" i="2"/>
  <c r="AF15" i="2"/>
  <c r="AD15" i="2"/>
  <c r="AE15" i="2" s="1"/>
  <c r="AC15" i="2"/>
  <c r="AA15" i="2"/>
  <c r="Z15" i="2"/>
  <c r="Y15" i="2"/>
  <c r="X15" i="2"/>
  <c r="U15" i="2"/>
  <c r="Q15" i="2"/>
  <c r="R15" i="2" s="1"/>
  <c r="P15" i="2"/>
  <c r="N15" i="2"/>
  <c r="L15" i="2"/>
  <c r="K15" i="2"/>
  <c r="J15" i="2"/>
  <c r="A15" i="2"/>
  <c r="AH14" i="2"/>
  <c r="AG14" i="2"/>
  <c r="AF14" i="2"/>
  <c r="AD14" i="2"/>
  <c r="AE14" i="2" s="1"/>
  <c r="AC14" i="2"/>
  <c r="AA14" i="2"/>
  <c r="Z14" i="2"/>
  <c r="Y14" i="2"/>
  <c r="X14" i="2"/>
  <c r="U14" i="2"/>
  <c r="Q14" i="2"/>
  <c r="R14" i="2" s="1"/>
  <c r="P14" i="2"/>
  <c r="N14" i="2"/>
  <c r="L14" i="2"/>
  <c r="K14" i="2"/>
  <c r="J14" i="2"/>
  <c r="A14" i="2"/>
  <c r="AH13" i="2"/>
  <c r="AG13" i="2"/>
  <c r="AF13" i="2"/>
  <c r="AD13" i="2"/>
  <c r="AE13" i="2" s="1"/>
  <c r="AC13" i="2"/>
  <c r="AA13" i="2"/>
  <c r="Z13" i="2"/>
  <c r="Y13" i="2"/>
  <c r="X13" i="2"/>
  <c r="U13" i="2"/>
  <c r="Q13" i="2"/>
  <c r="R13" i="2" s="1"/>
  <c r="P13" i="2"/>
  <c r="N13" i="2"/>
  <c r="L13" i="2"/>
  <c r="K13" i="2"/>
  <c r="J13" i="2"/>
  <c r="A13" i="2"/>
  <c r="AH12" i="2"/>
  <c r="AG12" i="2"/>
  <c r="AF12" i="2"/>
  <c r="AD12" i="2"/>
  <c r="AE12" i="2" s="1"/>
  <c r="AC12" i="2"/>
  <c r="AA12" i="2"/>
  <c r="Z12" i="2"/>
  <c r="Y12" i="2"/>
  <c r="X12" i="2"/>
  <c r="U12" i="2"/>
  <c r="Q12" i="2"/>
  <c r="R12" i="2" s="1"/>
  <c r="P12" i="2"/>
  <c r="N12" i="2"/>
  <c r="L12" i="2"/>
  <c r="K12" i="2"/>
  <c r="J12" i="2"/>
  <c r="A12" i="2"/>
  <c r="AH11" i="2"/>
  <c r="AG11" i="2"/>
  <c r="AF11" i="2"/>
  <c r="AD11" i="2"/>
  <c r="AE11" i="2" s="1"/>
  <c r="AC11" i="2"/>
  <c r="AA11" i="2"/>
  <c r="Z11" i="2"/>
  <c r="Y11" i="2"/>
  <c r="X11" i="2"/>
  <c r="U11" i="2"/>
  <c r="Q11" i="2"/>
  <c r="R11" i="2" s="1"/>
  <c r="P11" i="2"/>
  <c r="N11" i="2"/>
  <c r="L11" i="2"/>
  <c r="K11" i="2"/>
  <c r="J11" i="2"/>
  <c r="A11" i="2"/>
  <c r="AH10" i="2"/>
  <c r="AG10" i="2"/>
  <c r="AF10" i="2"/>
  <c r="AD10" i="2"/>
  <c r="AE10" i="2" s="1"/>
  <c r="AC10" i="2"/>
  <c r="AA10" i="2"/>
  <c r="Z10" i="2"/>
  <c r="Y10" i="2"/>
  <c r="X10" i="2"/>
  <c r="U10" i="2"/>
  <c r="Q10" i="2"/>
  <c r="R10" i="2" s="1"/>
  <c r="P10" i="2"/>
  <c r="N10" i="2"/>
  <c r="L10" i="2"/>
  <c r="K10" i="2"/>
  <c r="J10" i="2"/>
  <c r="A10" i="2"/>
  <c r="AH9" i="2"/>
  <c r="AG9" i="2"/>
  <c r="AF9" i="2"/>
  <c r="AD9" i="2"/>
  <c r="AE9" i="2" s="1"/>
  <c r="AC9" i="2"/>
  <c r="AA9" i="2"/>
  <c r="Z9" i="2"/>
  <c r="Y9" i="2"/>
  <c r="X9" i="2"/>
  <c r="U9" i="2"/>
  <c r="Q9" i="2"/>
  <c r="R9" i="2" s="1"/>
  <c r="P9" i="2"/>
  <c r="N9" i="2"/>
  <c r="L9" i="2"/>
  <c r="K9" i="2"/>
  <c r="J9" i="2"/>
  <c r="A9" i="2"/>
  <c r="AH8" i="2"/>
  <c r="AG8" i="2"/>
  <c r="AF8" i="2"/>
  <c r="AD8" i="2"/>
  <c r="AE8" i="2" s="1"/>
  <c r="AC8" i="2"/>
  <c r="AA8" i="2"/>
  <c r="Z8" i="2"/>
  <c r="Y8" i="2"/>
  <c r="X8" i="2"/>
  <c r="U8" i="2"/>
  <c r="Q8" i="2"/>
  <c r="R8" i="2" s="1"/>
  <c r="P8" i="2"/>
  <c r="N8" i="2"/>
  <c r="L8" i="2"/>
  <c r="K8" i="2"/>
  <c r="J8" i="2"/>
  <c r="A8" i="2"/>
  <c r="AH7" i="2"/>
  <c r="AG7" i="2"/>
  <c r="AF7" i="2"/>
  <c r="AD7" i="2"/>
  <c r="AE7" i="2" s="1"/>
  <c r="AC7" i="2"/>
  <c r="AA7" i="2"/>
  <c r="Z7" i="2"/>
  <c r="Y7" i="2"/>
  <c r="X7" i="2"/>
  <c r="U7" i="2"/>
  <c r="Q7" i="2"/>
  <c r="R7" i="2" s="1"/>
  <c r="P7" i="2"/>
  <c r="N7" i="2"/>
  <c r="L7" i="2"/>
  <c r="K7" i="2"/>
  <c r="J7" i="2"/>
  <c r="A7" i="2"/>
  <c r="AH6" i="2"/>
  <c r="AG6" i="2"/>
  <c r="AF6" i="2"/>
  <c r="AD6" i="2"/>
  <c r="AE6" i="2" s="1"/>
  <c r="AC6" i="2"/>
  <c r="AA6" i="2"/>
  <c r="Z6" i="2"/>
  <c r="Y6" i="2"/>
  <c r="X6" i="2"/>
  <c r="U6" i="2"/>
  <c r="C32" i="4" s="1"/>
  <c r="Q6" i="2"/>
  <c r="P6" i="2"/>
  <c r="N6" i="2"/>
  <c r="L6" i="2"/>
  <c r="K6" i="2"/>
  <c r="J6" i="2"/>
  <c r="A6" i="2"/>
  <c r="H106" i="1"/>
  <c r="G106" i="1"/>
  <c r="A106" i="1"/>
  <c r="H105" i="1"/>
  <c r="G105" i="1"/>
  <c r="A105" i="1"/>
  <c r="H104" i="1"/>
  <c r="G104" i="1"/>
  <c r="A104" i="1"/>
  <c r="H103" i="1"/>
  <c r="G103" i="1"/>
  <c r="A103" i="1"/>
  <c r="H102" i="1"/>
  <c r="G102" i="1"/>
  <c r="A102" i="1"/>
  <c r="H101" i="1"/>
  <c r="G101" i="1"/>
  <c r="A101" i="1"/>
  <c r="H100" i="1"/>
  <c r="G100" i="1"/>
  <c r="A100" i="1"/>
  <c r="H99" i="1"/>
  <c r="G99" i="1"/>
  <c r="A99" i="1"/>
  <c r="H98" i="1"/>
  <c r="G98" i="1"/>
  <c r="A98" i="1"/>
  <c r="H97" i="1"/>
  <c r="G97" i="1"/>
  <c r="A97" i="1"/>
  <c r="H96" i="1"/>
  <c r="G96" i="1"/>
  <c r="A96" i="1"/>
  <c r="H95" i="1"/>
  <c r="G95" i="1"/>
  <c r="A95" i="1"/>
  <c r="H94" i="1"/>
  <c r="G94" i="1"/>
  <c r="A94" i="1"/>
  <c r="H93" i="1"/>
  <c r="G93" i="1"/>
  <c r="A93" i="1"/>
  <c r="H92" i="1"/>
  <c r="G92" i="1"/>
  <c r="A92" i="1"/>
  <c r="H91" i="1"/>
  <c r="G91" i="1"/>
  <c r="A91" i="1"/>
  <c r="H90" i="1"/>
  <c r="G90" i="1"/>
  <c r="A90" i="1"/>
  <c r="H89" i="1"/>
  <c r="G89" i="1"/>
  <c r="A89" i="1"/>
  <c r="H88" i="1"/>
  <c r="G88" i="1"/>
  <c r="A88" i="1"/>
  <c r="H87" i="1"/>
  <c r="G87" i="1"/>
  <c r="A87" i="1"/>
  <c r="H86" i="1"/>
  <c r="G86" i="1"/>
  <c r="A86" i="1"/>
  <c r="H85" i="1"/>
  <c r="G85" i="1"/>
  <c r="A85" i="1"/>
  <c r="H84" i="1"/>
  <c r="G84" i="1"/>
  <c r="A84" i="1"/>
  <c r="H83" i="1"/>
  <c r="G83" i="1"/>
  <c r="A83" i="1"/>
  <c r="H82" i="1"/>
  <c r="G82" i="1"/>
  <c r="A82" i="1"/>
  <c r="H81" i="1"/>
  <c r="G81" i="1"/>
  <c r="A81" i="1"/>
  <c r="H80" i="1"/>
  <c r="G80" i="1"/>
  <c r="A80" i="1"/>
  <c r="H79" i="1"/>
  <c r="G79" i="1"/>
  <c r="A79" i="1"/>
  <c r="H78" i="1"/>
  <c r="G78" i="1"/>
  <c r="A78" i="1"/>
  <c r="H77" i="1"/>
  <c r="G77" i="1"/>
  <c r="A77" i="1"/>
  <c r="H76" i="1"/>
  <c r="G76" i="1"/>
  <c r="A76" i="1"/>
  <c r="H75" i="1"/>
  <c r="G75" i="1"/>
  <c r="A75" i="1"/>
  <c r="H74" i="1"/>
  <c r="G74" i="1"/>
  <c r="A74" i="1"/>
  <c r="H73" i="1"/>
  <c r="G73" i="1"/>
  <c r="A73" i="1"/>
  <c r="H72" i="1"/>
  <c r="G72" i="1"/>
  <c r="A72" i="1"/>
  <c r="H71" i="1"/>
  <c r="G71" i="1"/>
  <c r="A71" i="1"/>
  <c r="H70" i="1"/>
  <c r="G70" i="1"/>
  <c r="A70" i="1"/>
  <c r="H69" i="1"/>
  <c r="G69" i="1"/>
  <c r="A69" i="1"/>
  <c r="H68" i="1"/>
  <c r="G68" i="1"/>
  <c r="A68" i="1"/>
  <c r="H67" i="1"/>
  <c r="G67" i="1"/>
  <c r="A67" i="1"/>
  <c r="H66" i="1"/>
  <c r="G66" i="1"/>
  <c r="A66" i="1"/>
  <c r="H65" i="1"/>
  <c r="G65" i="1"/>
  <c r="A65" i="1"/>
  <c r="H64" i="1"/>
  <c r="G64" i="1"/>
  <c r="A64" i="1"/>
  <c r="H63" i="1"/>
  <c r="G63" i="1"/>
  <c r="A63" i="1"/>
  <c r="H62" i="1"/>
  <c r="G62" i="1"/>
  <c r="A62" i="1"/>
  <c r="H61" i="1"/>
  <c r="G61" i="1"/>
  <c r="A61" i="1"/>
  <c r="H60" i="1"/>
  <c r="G60" i="1"/>
  <c r="A60" i="1"/>
  <c r="H59" i="1"/>
  <c r="G59" i="1"/>
  <c r="A59" i="1"/>
  <c r="H58" i="1"/>
  <c r="G58" i="1"/>
  <c r="A58" i="1"/>
  <c r="H57" i="1"/>
  <c r="G57" i="1"/>
  <c r="A57" i="1"/>
  <c r="H56" i="1"/>
  <c r="G56" i="1"/>
  <c r="A56" i="1"/>
  <c r="H55" i="1"/>
  <c r="G55" i="1"/>
  <c r="A55" i="1"/>
  <c r="H54" i="1"/>
  <c r="G54" i="1"/>
  <c r="A54" i="1"/>
  <c r="H53" i="1"/>
  <c r="G53" i="1"/>
  <c r="A53" i="1"/>
  <c r="H52" i="1"/>
  <c r="G52" i="1"/>
  <c r="A52" i="1"/>
  <c r="H51" i="1"/>
  <c r="G51" i="1"/>
  <c r="A51" i="1"/>
  <c r="H50" i="1"/>
  <c r="G50" i="1"/>
  <c r="A50" i="1"/>
  <c r="H49" i="1"/>
  <c r="G49" i="1"/>
  <c r="A49" i="1"/>
  <c r="H48" i="1"/>
  <c r="G48" i="1"/>
  <c r="A48" i="1"/>
  <c r="H47" i="1"/>
  <c r="G47" i="1"/>
  <c r="A47" i="1"/>
  <c r="H46" i="1"/>
  <c r="G46" i="1"/>
  <c r="A46" i="1"/>
  <c r="H45" i="1"/>
  <c r="G45" i="1"/>
  <c r="A45" i="1"/>
  <c r="H44" i="1"/>
  <c r="G44" i="1"/>
  <c r="A44" i="1"/>
  <c r="H43" i="1"/>
  <c r="G43" i="1"/>
  <c r="A43" i="1"/>
  <c r="H42" i="1"/>
  <c r="G42" i="1"/>
  <c r="A42" i="1"/>
  <c r="H41" i="1"/>
  <c r="G41" i="1"/>
  <c r="A41" i="1"/>
  <c r="H40" i="1"/>
  <c r="G40" i="1"/>
  <c r="A40" i="1"/>
  <c r="H39" i="1"/>
  <c r="G39" i="1"/>
  <c r="A39" i="1"/>
  <c r="H38" i="1"/>
  <c r="G38" i="1"/>
  <c r="A38" i="1"/>
  <c r="H37" i="1"/>
  <c r="G37" i="1"/>
  <c r="A37" i="1"/>
  <c r="H36" i="1"/>
  <c r="G36" i="1"/>
  <c r="A36" i="1"/>
  <c r="H35" i="1"/>
  <c r="G35" i="1"/>
  <c r="A35" i="1"/>
  <c r="H34" i="1"/>
  <c r="G34" i="1"/>
  <c r="A34" i="1"/>
  <c r="H33" i="1"/>
  <c r="G33" i="1"/>
  <c r="A33" i="1"/>
  <c r="H32" i="1"/>
  <c r="G32" i="1"/>
  <c r="A32" i="1"/>
  <c r="H31" i="1"/>
  <c r="G31" i="1"/>
  <c r="A31" i="1"/>
  <c r="H30" i="1"/>
  <c r="G30" i="1"/>
  <c r="A30" i="1"/>
  <c r="H29" i="1"/>
  <c r="G29" i="1"/>
  <c r="A29" i="1"/>
  <c r="H28" i="1"/>
  <c r="G28" i="1"/>
  <c r="A28" i="1"/>
  <c r="H27" i="1"/>
  <c r="G27" i="1"/>
  <c r="A27" i="1"/>
  <c r="H26" i="1"/>
  <c r="G26" i="1"/>
  <c r="A26" i="1"/>
  <c r="H25" i="1"/>
  <c r="G25" i="1"/>
  <c r="A25" i="1"/>
  <c r="H24" i="1"/>
  <c r="G24" i="1"/>
  <c r="A24" i="1"/>
  <c r="H23" i="1"/>
  <c r="G23" i="1"/>
  <c r="A23" i="1"/>
  <c r="H22" i="1"/>
  <c r="G22" i="1"/>
  <c r="A22" i="1"/>
  <c r="H21" i="1"/>
  <c r="G21" i="1"/>
  <c r="A21" i="1"/>
  <c r="H20" i="1"/>
  <c r="G20" i="1"/>
  <c r="A20" i="1"/>
  <c r="H19" i="1"/>
  <c r="G19" i="1"/>
  <c r="A19" i="1"/>
  <c r="H18" i="1"/>
  <c r="G18" i="1"/>
  <c r="A18" i="1"/>
  <c r="H17" i="1"/>
  <c r="G17" i="1"/>
  <c r="A17" i="1"/>
  <c r="H16" i="1"/>
  <c r="G16" i="1"/>
  <c r="A16" i="1"/>
  <c r="H15" i="1"/>
  <c r="G15" i="1"/>
  <c r="A15" i="1"/>
  <c r="H14" i="1"/>
  <c r="G14" i="1"/>
  <c r="A14" i="1"/>
  <c r="H13" i="1"/>
  <c r="G13" i="1"/>
  <c r="A13" i="1"/>
  <c r="H12" i="1"/>
  <c r="G12" i="1"/>
  <c r="A12" i="1"/>
  <c r="H11" i="1"/>
  <c r="G11" i="1"/>
  <c r="A11" i="1"/>
  <c r="H10" i="1"/>
  <c r="G10" i="1"/>
  <c r="A10" i="1"/>
  <c r="H9" i="1"/>
  <c r="G9" i="1"/>
  <c r="A9" i="1"/>
  <c r="H8" i="1"/>
  <c r="G8" i="1"/>
  <c r="A8" i="1"/>
  <c r="H7" i="1"/>
  <c r="G7" i="1"/>
  <c r="A7" i="1"/>
  <c r="G6" i="1"/>
  <c r="A6" i="1"/>
  <c r="G5" i="1"/>
  <c r="A5" i="1"/>
  <c r="C7" i="5" l="1"/>
  <c r="H5" i="1"/>
  <c r="C19" i="5"/>
  <c r="C19" i="4"/>
  <c r="C18" i="5"/>
  <c r="C17" i="5"/>
  <c r="C34" i="4"/>
  <c r="C30" i="4"/>
  <c r="C27" i="4"/>
  <c r="C26" i="4"/>
  <c r="C25" i="4"/>
  <c r="C24" i="4"/>
  <c r="C23" i="4"/>
  <c r="C22" i="4"/>
  <c r="C11" i="4"/>
  <c r="C9" i="4"/>
  <c r="C8" i="4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R6" i="2"/>
  <c r="C38" i="4"/>
  <c r="C37" i="4"/>
  <c r="C36" i="4"/>
  <c r="C14" i="5"/>
  <c r="C17" i="4"/>
  <c r="C15" i="5"/>
  <c r="C18" i="4"/>
  <c r="C16" i="5"/>
  <c r="C7" i="4"/>
  <c r="R29" i="2"/>
  <c r="G6" i="3"/>
  <c r="F6" i="3"/>
  <c r="U6" i="3"/>
  <c r="S6" i="3"/>
  <c r="P6" i="3"/>
  <c r="G7" i="3"/>
  <c r="F7" i="3"/>
  <c r="U7" i="3"/>
  <c r="S7" i="3"/>
  <c r="P7" i="3"/>
  <c r="G8" i="3"/>
  <c r="F8" i="3"/>
  <c r="U8" i="3"/>
  <c r="S8" i="3"/>
  <c r="P8" i="3"/>
  <c r="G9" i="3"/>
  <c r="F9" i="3"/>
  <c r="U9" i="3"/>
  <c r="S9" i="3"/>
  <c r="P9" i="3"/>
  <c r="G10" i="3"/>
  <c r="F10" i="3"/>
  <c r="U10" i="3"/>
  <c r="S10" i="3"/>
  <c r="P10" i="3"/>
  <c r="G11" i="3"/>
  <c r="F11" i="3"/>
  <c r="U11" i="3"/>
  <c r="S11" i="3"/>
  <c r="P11" i="3"/>
  <c r="G12" i="3"/>
  <c r="F12" i="3"/>
  <c r="U12" i="3"/>
  <c r="S12" i="3"/>
  <c r="P12" i="3"/>
  <c r="G13" i="3"/>
  <c r="F13" i="3"/>
  <c r="U13" i="3"/>
  <c r="S13" i="3"/>
  <c r="P13" i="3"/>
  <c r="G14" i="3"/>
  <c r="F14" i="3"/>
  <c r="U14" i="3"/>
  <c r="S14" i="3"/>
  <c r="P14" i="3"/>
  <c r="G15" i="3"/>
  <c r="F15" i="3"/>
  <c r="U15" i="3"/>
  <c r="S15" i="3"/>
  <c r="P15" i="3"/>
  <c r="G16" i="3"/>
  <c r="F16" i="3"/>
  <c r="U16" i="3"/>
  <c r="S16" i="3"/>
  <c r="P16" i="3"/>
  <c r="G17" i="3"/>
  <c r="F17" i="3"/>
  <c r="U17" i="3"/>
  <c r="S17" i="3"/>
  <c r="P17" i="3"/>
  <c r="G18" i="3"/>
  <c r="F18" i="3"/>
  <c r="U18" i="3"/>
  <c r="S18" i="3"/>
  <c r="P18" i="3"/>
  <c r="G19" i="3"/>
  <c r="F19" i="3"/>
  <c r="U19" i="3"/>
  <c r="S19" i="3"/>
  <c r="P19" i="3"/>
  <c r="G20" i="3"/>
  <c r="F20" i="3"/>
  <c r="U20" i="3"/>
  <c r="S20" i="3"/>
  <c r="P20" i="3"/>
  <c r="G21" i="3"/>
  <c r="F21" i="3"/>
  <c r="U21" i="3"/>
  <c r="S21" i="3"/>
  <c r="P21" i="3"/>
  <c r="G22" i="3"/>
  <c r="F22" i="3"/>
  <c r="U22" i="3"/>
  <c r="S22" i="3"/>
  <c r="P22" i="3"/>
  <c r="G23" i="3"/>
  <c r="F23" i="3"/>
  <c r="U23" i="3"/>
  <c r="S23" i="3"/>
  <c r="P23" i="3"/>
  <c r="G24" i="3"/>
  <c r="F24" i="3"/>
  <c r="U24" i="3"/>
  <c r="S24" i="3"/>
  <c r="P24" i="3"/>
  <c r="G25" i="3"/>
  <c r="F25" i="3"/>
  <c r="U25" i="3"/>
  <c r="S25" i="3"/>
  <c r="P25" i="3"/>
  <c r="G26" i="3"/>
  <c r="F26" i="3"/>
  <c r="U26" i="3"/>
  <c r="S26" i="3"/>
  <c r="P26" i="3"/>
  <c r="G27" i="3"/>
  <c r="F27" i="3"/>
  <c r="U27" i="3"/>
  <c r="S27" i="3"/>
  <c r="P27" i="3"/>
  <c r="G28" i="3"/>
  <c r="F28" i="3"/>
  <c r="U28" i="3"/>
  <c r="S28" i="3"/>
  <c r="P28" i="3"/>
  <c r="G29" i="3"/>
  <c r="F29" i="3"/>
  <c r="U29" i="3"/>
  <c r="S29" i="3"/>
  <c r="P29" i="3"/>
  <c r="G30" i="3"/>
  <c r="F30" i="3"/>
  <c r="U30" i="3"/>
  <c r="S30" i="3"/>
  <c r="P30" i="3"/>
  <c r="G31" i="3"/>
  <c r="F31" i="3"/>
  <c r="U31" i="3"/>
  <c r="S31" i="3"/>
  <c r="P31" i="3"/>
  <c r="G32" i="3"/>
  <c r="F32" i="3"/>
  <c r="U32" i="3"/>
  <c r="S32" i="3"/>
  <c r="P32" i="3"/>
  <c r="G33" i="3"/>
  <c r="F33" i="3"/>
  <c r="U33" i="3"/>
  <c r="S33" i="3"/>
  <c r="P33" i="3"/>
  <c r="G34" i="3"/>
  <c r="F34" i="3"/>
  <c r="U34" i="3"/>
  <c r="S34" i="3"/>
  <c r="P34" i="3"/>
  <c r="G35" i="3"/>
  <c r="F35" i="3"/>
  <c r="U35" i="3"/>
  <c r="S35" i="3"/>
  <c r="P35" i="3"/>
  <c r="G36" i="3"/>
  <c r="F36" i="3"/>
  <c r="U36" i="3"/>
  <c r="S36" i="3"/>
  <c r="P36" i="3"/>
  <c r="G37" i="3"/>
  <c r="F37" i="3"/>
  <c r="U37" i="3"/>
  <c r="S37" i="3"/>
  <c r="P37" i="3"/>
  <c r="G38" i="3"/>
  <c r="F38" i="3"/>
  <c r="U38" i="3"/>
  <c r="S38" i="3"/>
  <c r="P38" i="3"/>
  <c r="G39" i="3"/>
  <c r="F39" i="3"/>
  <c r="U39" i="3"/>
  <c r="S39" i="3"/>
  <c r="P39" i="3"/>
  <c r="G40" i="3"/>
  <c r="F40" i="3"/>
  <c r="U40" i="3"/>
  <c r="S40" i="3"/>
  <c r="P40" i="3"/>
  <c r="G41" i="3"/>
  <c r="F41" i="3"/>
  <c r="U41" i="3"/>
  <c r="S41" i="3"/>
  <c r="P41" i="3"/>
  <c r="G42" i="3"/>
  <c r="F42" i="3"/>
  <c r="U42" i="3"/>
  <c r="S42" i="3"/>
  <c r="P42" i="3"/>
  <c r="G43" i="3"/>
  <c r="F43" i="3"/>
  <c r="U43" i="3"/>
  <c r="S43" i="3"/>
  <c r="P43" i="3"/>
  <c r="G44" i="3"/>
  <c r="F44" i="3"/>
  <c r="U44" i="3"/>
  <c r="S44" i="3"/>
  <c r="P44" i="3"/>
  <c r="G45" i="3"/>
  <c r="F45" i="3"/>
  <c r="U45" i="3"/>
  <c r="S45" i="3"/>
  <c r="P45" i="3"/>
  <c r="G46" i="3"/>
  <c r="F46" i="3"/>
  <c r="U46" i="3"/>
  <c r="S46" i="3"/>
  <c r="P46" i="3"/>
  <c r="G47" i="3"/>
  <c r="F47" i="3"/>
  <c r="U47" i="3"/>
  <c r="S47" i="3"/>
  <c r="P47" i="3"/>
  <c r="G48" i="3"/>
  <c r="F48" i="3"/>
  <c r="U48" i="3"/>
  <c r="S48" i="3"/>
  <c r="P48" i="3"/>
  <c r="G49" i="3"/>
  <c r="F49" i="3"/>
  <c r="U49" i="3"/>
  <c r="S49" i="3"/>
  <c r="P49" i="3"/>
  <c r="G50" i="3"/>
  <c r="F50" i="3"/>
  <c r="U50" i="3"/>
  <c r="S50" i="3"/>
  <c r="P50" i="3"/>
  <c r="G51" i="3"/>
  <c r="F51" i="3"/>
  <c r="U51" i="3"/>
  <c r="S51" i="3"/>
  <c r="P51" i="3"/>
  <c r="G52" i="3"/>
  <c r="F52" i="3"/>
  <c r="U52" i="3"/>
  <c r="S52" i="3"/>
  <c r="P52" i="3"/>
  <c r="G53" i="3"/>
  <c r="F53" i="3"/>
  <c r="U53" i="3"/>
  <c r="S53" i="3"/>
  <c r="P53" i="3"/>
  <c r="G54" i="3"/>
  <c r="F54" i="3"/>
  <c r="U54" i="3"/>
  <c r="S54" i="3"/>
  <c r="P54" i="3"/>
  <c r="G55" i="3"/>
  <c r="F55" i="3"/>
  <c r="U55" i="3"/>
  <c r="S55" i="3"/>
  <c r="P55" i="3"/>
  <c r="C33" i="4" l="1"/>
  <c r="H6" i="1"/>
  <c r="S29" i="2" l="1"/>
  <c r="K6" i="3"/>
  <c r="M6" i="3" s="1"/>
  <c r="Q6" i="3" s="1"/>
  <c r="K7" i="3"/>
  <c r="M7" i="3" s="1"/>
  <c r="Q7" i="3" s="1"/>
  <c r="R7" i="3" s="1"/>
  <c r="C20" i="5" s="1"/>
  <c r="K8" i="3"/>
  <c r="M8" i="3" s="1"/>
  <c r="Q8" i="3" s="1"/>
  <c r="K9" i="3"/>
  <c r="M9" i="3" s="1"/>
  <c r="Q9" i="3" s="1"/>
  <c r="K10" i="3"/>
  <c r="M10" i="3" s="1"/>
  <c r="Q10" i="3" s="1"/>
  <c r="K11" i="3"/>
  <c r="M11" i="3" s="1"/>
  <c r="Q11" i="3" s="1"/>
  <c r="K12" i="3"/>
  <c r="M12" i="3" s="1"/>
  <c r="Q12" i="3" s="1"/>
  <c r="K13" i="3"/>
  <c r="M13" i="3" s="1"/>
  <c r="Q13" i="3" s="1"/>
  <c r="K14" i="3"/>
  <c r="M14" i="3" s="1"/>
  <c r="Q14" i="3" s="1"/>
  <c r="K15" i="3"/>
  <c r="M15" i="3" s="1"/>
  <c r="Q15" i="3" s="1"/>
  <c r="K16" i="3"/>
  <c r="M16" i="3" s="1"/>
  <c r="Q16" i="3" s="1"/>
  <c r="K17" i="3"/>
  <c r="M17" i="3" s="1"/>
  <c r="Q17" i="3" s="1"/>
  <c r="K18" i="3"/>
  <c r="M18" i="3" s="1"/>
  <c r="Q18" i="3" s="1"/>
  <c r="K19" i="3"/>
  <c r="M19" i="3" s="1"/>
  <c r="Q19" i="3" s="1"/>
  <c r="K20" i="3"/>
  <c r="M20" i="3" s="1"/>
  <c r="Q20" i="3" s="1"/>
  <c r="K21" i="3"/>
  <c r="M21" i="3" s="1"/>
  <c r="Q21" i="3" s="1"/>
  <c r="K22" i="3"/>
  <c r="M22" i="3" s="1"/>
  <c r="Q22" i="3" s="1"/>
  <c r="K23" i="3"/>
  <c r="M23" i="3" s="1"/>
  <c r="Q23" i="3" s="1"/>
  <c r="K24" i="3"/>
  <c r="M24" i="3" s="1"/>
  <c r="Q24" i="3" s="1"/>
  <c r="K25" i="3"/>
  <c r="M25" i="3" s="1"/>
  <c r="Q25" i="3" s="1"/>
  <c r="K26" i="3"/>
  <c r="M26" i="3" s="1"/>
  <c r="Q26" i="3" s="1"/>
  <c r="K27" i="3"/>
  <c r="M27" i="3" s="1"/>
  <c r="Q27" i="3" s="1"/>
  <c r="K28" i="3"/>
  <c r="M28" i="3" s="1"/>
  <c r="Q28" i="3" s="1"/>
  <c r="K29" i="3"/>
  <c r="M29" i="3" s="1"/>
  <c r="Q29" i="3" s="1"/>
  <c r="K30" i="3"/>
  <c r="M30" i="3" s="1"/>
  <c r="Q30" i="3" s="1"/>
  <c r="K31" i="3"/>
  <c r="M31" i="3" s="1"/>
  <c r="Q31" i="3" s="1"/>
  <c r="K32" i="3"/>
  <c r="M32" i="3" s="1"/>
  <c r="Q32" i="3" s="1"/>
  <c r="K33" i="3"/>
  <c r="M33" i="3" s="1"/>
  <c r="Q33" i="3" s="1"/>
  <c r="K34" i="3"/>
  <c r="M34" i="3" s="1"/>
  <c r="Q34" i="3" s="1"/>
  <c r="K35" i="3"/>
  <c r="M35" i="3" s="1"/>
  <c r="Q35" i="3" s="1"/>
  <c r="K36" i="3"/>
  <c r="M36" i="3" s="1"/>
  <c r="Q36" i="3" s="1"/>
  <c r="K37" i="3"/>
  <c r="M37" i="3" s="1"/>
  <c r="Q37" i="3" s="1"/>
  <c r="K38" i="3"/>
  <c r="M38" i="3" s="1"/>
  <c r="Q38" i="3" s="1"/>
  <c r="K39" i="3"/>
  <c r="M39" i="3" s="1"/>
  <c r="Q39" i="3" s="1"/>
  <c r="K40" i="3"/>
  <c r="M40" i="3" s="1"/>
  <c r="Q40" i="3" s="1"/>
  <c r="K41" i="3"/>
  <c r="M41" i="3" s="1"/>
  <c r="Q41" i="3" s="1"/>
  <c r="K42" i="3"/>
  <c r="M42" i="3" s="1"/>
  <c r="Q42" i="3" s="1"/>
  <c r="K43" i="3"/>
  <c r="M43" i="3" s="1"/>
  <c r="Q43" i="3" s="1"/>
  <c r="K44" i="3"/>
  <c r="M44" i="3" s="1"/>
  <c r="Q44" i="3" s="1"/>
  <c r="K45" i="3"/>
  <c r="M45" i="3" s="1"/>
  <c r="Q45" i="3" s="1"/>
  <c r="K46" i="3"/>
  <c r="M46" i="3" s="1"/>
  <c r="Q46" i="3" s="1"/>
  <c r="K47" i="3"/>
  <c r="M47" i="3" s="1"/>
  <c r="Q47" i="3" s="1"/>
  <c r="K48" i="3"/>
  <c r="M48" i="3" s="1"/>
  <c r="Q48" i="3" s="1"/>
  <c r="K49" i="3"/>
  <c r="M49" i="3" s="1"/>
  <c r="Q49" i="3" s="1"/>
  <c r="K50" i="3"/>
  <c r="M50" i="3" s="1"/>
  <c r="Q50" i="3" s="1"/>
  <c r="K51" i="3"/>
  <c r="M51" i="3" s="1"/>
  <c r="Q51" i="3" s="1"/>
  <c r="K52" i="3"/>
  <c r="M52" i="3" s="1"/>
  <c r="Q52" i="3" s="1"/>
  <c r="K53" i="3"/>
  <c r="M53" i="3" s="1"/>
  <c r="Q53" i="3" s="1"/>
  <c r="K54" i="3"/>
  <c r="M54" i="3" s="1"/>
  <c r="Q54" i="3" s="1"/>
  <c r="K55" i="3"/>
  <c r="M55" i="3" s="1"/>
  <c r="Q55" i="3" s="1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C15" i="4"/>
  <c r="C14" i="4"/>
  <c r="C13" i="4"/>
  <c r="C21" i="5"/>
  <c r="C8" i="5"/>
  <c r="C10" i="4"/>
  <c r="C6" i="4"/>
  <c r="S30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</calcChain>
</file>

<file path=xl/sharedStrings.xml><?xml version="1.0" encoding="utf-8"?>
<sst xmlns="http://schemas.openxmlformats.org/spreadsheetml/2006/main" count="398" uniqueCount="299">
  <si>
    <t xml:space="preserve">  KFC HEDGE FUND  //  TRANSACTION LEDGER</t>
  </si>
  <si>
    <t xml:space="preserve">  Cash flows in and out. Fund Balance auto-updates every row.</t>
  </si>
  <si>
    <t xml:space="preserve">  Blue = input  |  White = formula  |  Green = cross-sheet</t>
  </si>
  <si>
    <t>#</t>
  </si>
  <si>
    <t>Date</t>
  </si>
  <si>
    <t>Player Name</t>
  </si>
  <si>
    <t>Type</t>
  </si>
  <si>
    <t>Deposit (+)</t>
  </si>
  <si>
    <t>Withdrawal (−)</t>
  </si>
  <si>
    <t>Net Flow</t>
  </si>
  <si>
    <t>Fund Balance After</t>
  </si>
  <si>
    <t>Note / Reference</t>
  </si>
  <si>
    <t>Verified?</t>
  </si>
  <si>
    <t>Kimmo</t>
  </si>
  <si>
    <t>Deposit</t>
  </si>
  <si>
    <t>Fund manager initial funding</t>
  </si>
  <si>
    <t>Yes</t>
  </si>
  <si>
    <t>Andre</t>
  </si>
  <si>
    <t>First player deposit</t>
  </si>
  <si>
    <t xml:space="preserve">  POSITIONS  //  TRADE TRACKER</t>
  </si>
  <si>
    <t xml:space="preserve">  Open=live P&amp;L  |  Closed=locked P&amp;L  |  Blue=input  |  White=formula  |  Green=cross-sheet</t>
  </si>
  <si>
    <t xml:space="preserve">  Col O=Exit/Cur Price  |  Col V=Stop Loss  |  Col W=Take Profit  |  Col AF=SL/TP Status  |  Col AH=Liquidation Price</t>
  </si>
  <si>
    <t>Status</t>
  </si>
  <si>
    <t>Asset Class</t>
  </si>
  <si>
    <t>Ticker/Name</t>
  </si>
  <si>
    <t>Long/Short</t>
  </si>
  <si>
    <t>Entry Date</t>
  </si>
  <si>
    <t>Entry Price</t>
  </si>
  <si>
    <t>Qty</t>
  </si>
  <si>
    <t>Leverage (x)</t>
  </si>
  <si>
    <t>Margin % (1/Lev)</t>
  </si>
  <si>
    <t>Notional Exp ($)</t>
  </si>
  <si>
    <t>Margin Req ($)</t>
  </si>
  <si>
    <t>Warning Threshold %</t>
  </si>
  <si>
    <t>Margin Status</t>
  </si>
  <si>
    <t>Exit/Cur Price</t>
  </si>
  <si>
    <t>Mkt/Exit Val ($)</t>
  </si>
  <si>
    <t>P&amp;L ($)</t>
  </si>
  <si>
    <t>P&amp;L (%)</t>
  </si>
  <si>
    <t>% of Fund</t>
  </si>
  <si>
    <t>Exit Date</t>
  </si>
  <si>
    <t>Hold (days)</t>
  </si>
  <si>
    <t>Stop Loss</t>
  </si>
  <si>
    <t>Take Profit</t>
  </si>
  <si>
    <t>SL Distance ($)</t>
  </si>
  <si>
    <t>SL Distance (%)</t>
  </si>
  <si>
    <t>TP Distance ($)</t>
  </si>
  <si>
    <t>TP Distance (%)</t>
  </si>
  <si>
    <t>Notes</t>
  </si>
  <si>
    <t>Max Loss vs SL</t>
  </si>
  <si>
    <t>Locked Exit Price</t>
  </si>
  <si>
    <t>Drawdown from Entry %</t>
  </si>
  <si>
    <t>SL/TP Triggered?</t>
  </si>
  <si>
    <t>Auto Exit Price</t>
  </si>
  <si>
    <t>Liquidation Price</t>
  </si>
  <si>
    <t>Closed</t>
  </si>
  <si>
    <t>Stock</t>
  </si>
  <si>
    <t>NVDA</t>
  </si>
  <si>
    <t>Long</t>
  </si>
  <si>
    <t>META</t>
  </si>
  <si>
    <t>Forex</t>
  </si>
  <si>
    <t>AUD/USD</t>
  </si>
  <si>
    <t>Short</t>
  </si>
  <si>
    <t>Position volume added</t>
  </si>
  <si>
    <t>Futures</t>
  </si>
  <si>
    <t>Gold</t>
  </si>
  <si>
    <t>Additional position Long on Gold market opening Monday</t>
  </si>
  <si>
    <t>Inverse relationship with gold complementary trade</t>
  </si>
  <si>
    <t>Geopo-leads to investing in safe assets HOLD</t>
  </si>
  <si>
    <t>Crypto</t>
  </si>
  <si>
    <t>BTC</t>
  </si>
  <si>
    <t>BTC big drawback, must restore resistance and buy volume rallying up price</t>
  </si>
  <si>
    <t>Oil</t>
  </si>
  <si>
    <t>Continued burden on closing of straight of Hormuz</t>
  </si>
  <si>
    <t>BTC Bear swing sentiment - projected 40k support level</t>
  </si>
  <si>
    <t>New Long Hold on Oil until TP, distanced SL to avoid volatility</t>
  </si>
  <si>
    <t>Added position to amplify gains, higher TP lower Leverage</t>
  </si>
  <si>
    <t>Index</t>
  </si>
  <si>
    <t>Nikkei 225</t>
  </si>
  <si>
    <t>Growing fear in US market over war</t>
  </si>
  <si>
    <t>Bearish outlook on USD appreciation with investors rushing to safe assets</t>
  </si>
  <si>
    <t>AMZN</t>
  </si>
  <si>
    <t>Market volatility swing trade</t>
  </si>
  <si>
    <t>BTC SHORT POSITION HOLD</t>
  </si>
  <si>
    <t>NFLX</t>
  </si>
  <si>
    <t>Netflix Short position Day trade bearish sentiment</t>
  </si>
  <si>
    <t>S&amp;P 500</t>
  </si>
  <si>
    <t>Market Opening Swing</t>
  </si>
  <si>
    <t>US Oil price jumps pullback swing</t>
  </si>
  <si>
    <t>USD/JPY</t>
  </si>
  <si>
    <t>USD depreciation for tension, Market sentiment bearish</t>
  </si>
  <si>
    <t>Geopolitical tensions short-term</t>
  </si>
  <si>
    <t>RHMD</t>
  </si>
  <si>
    <t>European defense budget increase but looks bearish</t>
  </si>
  <si>
    <t>ETF</t>
  </si>
  <si>
    <t>REMX</t>
  </si>
  <si>
    <t>Rare minerals demand increase + tech ind. need</t>
  </si>
  <si>
    <t>US-Iran Tensions</t>
  </si>
  <si>
    <t>Open</t>
  </si>
  <si>
    <t>LONG oil war</t>
  </si>
  <si>
    <t>LONG Oil war Mult positions</t>
  </si>
  <si>
    <t xml:space="preserve">  INVESTOR WITHDRAWALS  //  LIVE PRO-RATA TRACKER</t>
  </si>
  <si>
    <t xml:space="preserve">  Net Balance and Fund % auto-recalculate for all players on every deposit or withdrawal.</t>
  </si>
  <si>
    <t xml:space="preserve">  Blue=input | White=formula | Green=cross-sheet | Partial: enter amt in col O, P&amp;L scales to fraction</t>
  </si>
  <si>
    <t>First Deposit Date</t>
  </si>
  <si>
    <t>Lockup (days)</t>
  </si>
  <si>
    <t>Unlock Date</t>
  </si>
  <si>
    <t>Days to Unlock</t>
  </si>
  <si>
    <t>Lockup Status</t>
  </si>
  <si>
    <t>Total Deposited ($)</t>
  </si>
  <si>
    <t>Total Paid Out ($)</t>
  </si>
  <si>
    <t>Net Balance in Fund ($)</t>
  </si>
  <si>
    <t>Fund % (live)</t>
  </si>
  <si>
    <t>Fund P&amp;L ($)</t>
  </si>
  <si>
    <t>Full P&amp;L Share ($)</t>
  </si>
  <si>
    <t>Withdrawal Date</t>
  </si>
  <si>
    <t>Withdrawal Amt ($)</t>
  </si>
  <si>
    <t>% of Stake Withdrawn</t>
  </si>
  <si>
    <t>P&amp;L on Withdrawal ($)</t>
  </si>
  <si>
    <t>Net Payout ($)</t>
  </si>
  <si>
    <t>Remaining Balance ($)</t>
  </si>
  <si>
    <t>New Fund %</t>
  </si>
  <si>
    <t>1</t>
  </si>
  <si>
    <t>2</t>
  </si>
  <si>
    <t>Redistribution upon unlock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</si>
  <si>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</si>
  <si>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</si>
  <si>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</si>
  <si>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</si>
  <si>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</si>
  <si>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</si>
  <si>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</si>
  <si>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</si>
  <si>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</si>
  <si>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</si>
  <si>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</si>
  <si>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</si>
  <si>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</si>
  <si>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</si>
  <si>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</si>
  <si>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</si>
  <si>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</si>
  <si>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</si>
  <si>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</si>
  <si>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</si>
  <si>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</si>
  <si>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</si>
  <si>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</si>
  <si>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</si>
  <si>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</si>
  <si>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</si>
  <si>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</si>
  <si>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</si>
  <si>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</si>
  <si>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</si>
  <si>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</si>
  <si>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</si>
  <si>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</si>
  <si>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</si>
  <si>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</si>
  <si>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</si>
  <si>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</si>
  <si>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</si>
  <si>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</si>
  <si>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</si>
  <si>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</si>
  <si>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</si>
  <si>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</si>
  <si>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</si>
  <si>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</si>
  <si>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</si>
  <si>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</si>
  <si>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</si>
  <si>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 xml:space="preserve">  FUND MEASURES  //  PERFORMANCE ANALYTICS</t>
  </si>
  <si>
    <t xml:space="preserve">  All metrics live from Transaction Log + Positions.</t>
  </si>
  <si>
    <t xml:space="preserve">  RETURNS</t>
  </si>
  <si>
    <t>Total Capital Deposited ($)</t>
  </si>
  <si>
    <t>Sum of all player deposits</t>
  </si>
  <si>
    <t>Current Fund Balance ($)</t>
  </si>
  <si>
    <t>Latest balance from Transaction Log</t>
  </si>
  <si>
    <t>Unrealised P&amp;L ($)</t>
  </si>
  <si>
    <t>Open positions at current prices</t>
  </si>
  <si>
    <t>Realised P&amp;L ($)</t>
  </si>
  <si>
    <t>Closed positions locked P&amp;L</t>
  </si>
  <si>
    <t>Total P&amp;L ($)</t>
  </si>
  <si>
    <t>Unrealised + Realised combined</t>
  </si>
  <si>
    <t>Fund NAV ($)</t>
  </si>
  <si>
    <t>Cash balance + total P&amp;L</t>
  </si>
  <si>
    <t>Total Return (%)</t>
  </si>
  <si>
    <t>Total P&amp;L / Total Capital Deposited</t>
  </si>
  <si>
    <t xml:space="preserve">  RISK &amp; DRAWDOWN</t>
  </si>
  <si>
    <t>Peak Fund Balance ($)</t>
  </si>
  <si>
    <t>Highest balance in Transaction Log</t>
  </si>
  <si>
    <t>Current Drawdown ($)</t>
  </si>
  <si>
    <t>Peak minus current balance</t>
  </si>
  <si>
    <t>Current Drawdown (%)</t>
  </si>
  <si>
    <t>How far below peak (%)</t>
  </si>
  <si>
    <t>Max Potential Loss ($)</t>
  </si>
  <si>
    <t>Sum of SL distances for open positions</t>
  </si>
  <si>
    <t>Total Notional Exposure ($)</t>
  </si>
  <si>
    <t>Total leveraged exposure of open positions</t>
  </si>
  <si>
    <t>Margin Deployed ($)</t>
  </si>
  <si>
    <t>Capital committed as margin on open positions</t>
  </si>
  <si>
    <t>Active Liquidations</t>
  </si>
  <si>
    <t>Open positions at/below maintenance margin</t>
  </si>
  <si>
    <t xml:space="preserve">  TRADE STATISTICS</t>
  </si>
  <si>
    <t>Total Trades (Closed)</t>
  </si>
  <si>
    <t>Completed trades</t>
  </si>
  <si>
    <t>Winning Trades</t>
  </si>
  <si>
    <t>Closed trades with positive P&amp;L</t>
  </si>
  <si>
    <t>Losing Trades</t>
  </si>
  <si>
    <t>Closed trades with negative P&amp;L</t>
  </si>
  <si>
    <t>Win Rate (%)</t>
  </si>
  <si>
    <t>% of closed trades profitable</t>
  </si>
  <si>
    <t>Average P&amp;L per Trade ($)</t>
  </si>
  <si>
    <t>Mean P&amp;L across all trades</t>
  </si>
  <si>
    <t>Average Winning Trade ($)</t>
  </si>
  <si>
    <t>Mean P&amp;L of winning closed trades</t>
  </si>
  <si>
    <t>Average Losing Trade ($)</t>
  </si>
  <si>
    <t>Mean P&amp;L of losing closed trades</t>
  </si>
  <si>
    <t>Best Trade ($)</t>
  </si>
  <si>
    <t>Highest P&amp;L single closed trade</t>
  </si>
  <si>
    <t>Worst Trade ($)</t>
  </si>
  <si>
    <t>Largest loss single closed trade</t>
  </si>
  <si>
    <t>Profit Factor</t>
  </si>
  <si>
    <t>Gross wins / Gross losses. &gt;1 = profitable</t>
  </si>
  <si>
    <t xml:space="preserve">  RISK-ADJUSTED</t>
  </si>
  <si>
    <t>Avg Hold Period — Closed (days)</t>
  </si>
  <si>
    <t>Avg days held for closed positions</t>
  </si>
  <si>
    <t>Sharpe Ratio (trade-based)</t>
  </si>
  <si>
    <t>Avg P&amp;L% / StdDev P&amp;L%</t>
  </si>
  <si>
    <t>Expectancy ($ per trade)</t>
  </si>
  <si>
    <t>WinRate x AvgWin + LossRate x AvgLoss</t>
  </si>
  <si>
    <t xml:space="preserve">  SL / TP STATUS</t>
  </si>
  <si>
    <t>Stop Loss Hits (Closed)</t>
  </si>
  <si>
    <t>Live count from Positions sheet</t>
  </si>
  <si>
    <t>Take Profit Hits (Closed)</t>
  </si>
  <si>
    <t>Positions Still Active</t>
  </si>
  <si>
    <t xml:space="preserve">  FUND SUMMARY  //  LIVE DASHBOARD</t>
  </si>
  <si>
    <t xml:space="preserve">  All values auto-calculated from Transaction Log and Positions.</t>
  </si>
  <si>
    <t>METRIC</t>
  </si>
  <si>
    <t>VALUE</t>
  </si>
  <si>
    <t>NOTES</t>
  </si>
  <si>
    <t>Total Deposits</t>
  </si>
  <si>
    <t>Sum of all inflows</t>
  </si>
  <si>
    <t>Total Withdrawals</t>
  </si>
  <si>
    <t>Sum of all outflows</t>
  </si>
  <si>
    <t>Net Capital Flow</t>
  </si>
  <si>
    <t>Deposits − Withdrawals</t>
  </si>
  <si>
    <t>Current Fund Balance</t>
  </si>
  <si>
    <t>Latest running balance</t>
  </si>
  <si>
    <t># of Transactions</t>
  </si>
  <si>
    <t>Filled player rows</t>
  </si>
  <si>
    <t>Last Transaction Date</t>
  </si>
  <si>
    <t>Most recent entry</t>
  </si>
  <si>
    <t>Open Positions</t>
  </si>
  <si>
    <t>Closed Positions</t>
  </si>
  <si>
    <t>Total Notional Exp ($)</t>
  </si>
  <si>
    <t>Total Withdrawal Payouts ($)</t>
  </si>
  <si>
    <t>Cash + Total P&amp;L</t>
  </si>
  <si>
    <t xml:space="preserve">  PLAYER SUMMARY</t>
  </si>
  <si>
    <t>Total Deposited</t>
  </si>
  <si>
    <t>Total Withdrawn</t>
  </si>
  <si>
    <t xml:space="preserve">  STAKE FACTOR</t>
  </si>
  <si>
    <t>Level</t>
  </si>
  <si>
    <t>Stake Multiplier</t>
  </si>
  <si>
    <t>Min Bet (10× Scale)</t>
  </si>
  <si>
    <t>1×</t>
  </si>
  <si>
    <t>10×</t>
  </si>
  <si>
    <t>100×</t>
  </si>
  <si>
    <t>1,000×</t>
  </si>
  <si>
    <t>10,000×</t>
  </si>
  <si>
    <t>100,000×</t>
  </si>
  <si>
    <t>1,000,000×</t>
  </si>
  <si>
    <t>10,000,000×</t>
  </si>
  <si>
    <t xml:space="preserve">  HOW TO USE THIS HEDGE FUND TRACKER</t>
  </si>
  <si>
    <t xml:space="preserve">  1.  LOGGING A TRANSACTION</t>
  </si>
  <si>
    <t xml:space="preserve">  →  Go to the 'Transaction Log' sheet.</t>
  </si>
  <si>
    <t xml:space="preserve">  →  Find the next empty row (blue-text cells).</t>
  </si>
  <si>
    <t xml:space="preserve">  →  Enter: Date · Player Name · Type (Deposit or Withdrawal).</t>
  </si>
  <si>
    <t xml:space="preserve">  →  Enter the amount in 'Deposit (+)' OR 'Withdrawal (−)' — never both.</t>
  </si>
  <si>
    <t xml:space="preserve">  →  Optionally add a note in the 'Note / Reference' column.</t>
  </si>
  <si>
    <t xml:space="preserve">  →  The Net Flow and Fund Balance columns update automatically.</t>
  </si>
  <si>
    <t xml:space="preserve">  2.  FUND BALANCE</t>
  </si>
  <si>
    <t xml:space="preserve">  →  Column H ('Fund Balance After') shows the exact fund balance after every transaction.</t>
  </si>
  <si>
    <t xml:space="preserve">  →  The Fund Summary dashboard mirrors these live figures.</t>
  </si>
  <si>
    <t xml:space="preserve">  3.  COLOUR CODING</t>
  </si>
  <si>
    <t xml:space="preserve">  →  Blue text  = cells you type into (inputs).</t>
  </si>
  <si>
    <t xml:space="preserve">  →  White text = auto-calculated formulas — do NOT overwrite.</t>
  </si>
  <si>
    <t xml:space="preserve">  →  Green text = values pulled from another sheet.</t>
  </si>
  <si>
    <t xml:space="preserve">  4.  ADDING MORE ROWS</t>
  </si>
  <si>
    <t xml:space="preserve">  →  Copy the last formatted data row and paste below to extend the log.</t>
  </si>
  <si>
    <t xml:space="preserve">  →  Positions sheet supports up to row 105 (100 trades).</t>
  </si>
  <si>
    <t xml:space="preserve">  →  Investor Withdrawals supports up to row 55 (50 investors).</t>
  </si>
  <si>
    <t xml:space="preserve">  5.  GOOGLE SHEETS NOTES</t>
  </si>
  <si>
    <t xml:space="preserve">  →  LOOKUP(2,1/(range&lt;&gt;""),range) finds the last non-empty value — fully supported.</t>
  </si>
  <si>
    <t xml:space="preserve">  →  MAXIFS / MINIFS are supported in Google Sheets.</t>
  </si>
  <si>
    <t xml:space="preserve">  →  All cross-sheet references use 'Sheet Name'!Range format.</t>
  </si>
  <si>
    <t xml:space="preserve">  →  Named table references (Excel) replaced with explicit ranges throughout.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</si>
</sst>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0">
    <font>
      <sz val="11"/>
      <color theme="1"/>
      <name val="Calibri"/>
      <scheme val="minor"/>
    </font>
    <font>
      <b/>
      <sz val="11"/>
      <color rgb="FFFF6600"/>
      <name val="Courier New"/>
    </font>
    <font>
      <sz val="11"/>
      <color theme="1"/>
      <name val="Calibri"/>
    </font>
    <font>
      <i/>
      <sz val="8"/>
      <color rgb="FF888888"/>
      <name val="Courier New"/>
    </font>
    <font>
      <b/>
      <sz val="9"/>
      <color rgb="FFFFFFFF"/>
      <name val="Courier New"/>
    </font>
    <font>
      <sz val="9"/>
      <color rgb="FFFFFFFF"/>
      <name val="Courier New"/>
    </font>
    <font>
      <sz val="9"/>
      <color rgb="FF4499FF"/>
      <name val="Courier New"/>
    </font>
    <font>
      <sz val="9"/>
      <color rgb="FF00CC44"/>
      <name val="Courier New"/>
    </font>
    <font>
      <b/>
      <sz val="10"/>
      <color rgb="FFFF6600"/>
      <name val="Courier New"/>
    </font>
    <font>
      <b/>
      <sz val="9"/>
      <color rgb="FFFFCC00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0D0D0D"/>
        <bgColor rgb="FF0D0D0D"/>
      </patternFill>
    </fill>
    <fill>
      <patternFill patternType="solid">
        <fgColor rgb="FF141414"/>
        <bgColor rgb="FF141414"/>
      </patternFill>
    </fill>
    <fill>
      <patternFill patternType="solid">
        <fgColor rgb="FF1A0A0A"/>
        <bgColor rgb="FF1A0A0A"/>
      </patternFill>
    </fill>
    <fill>
      <patternFill patternType="solid">
        <fgColor rgb="FF0A1F0A"/>
        <bgColor rgb="FF0A1F0A"/>
      </patternFill>
    </fill>
    <fill>
      <patternFill patternType="solid">
        <fgColor rgb="FF1C1C1C"/>
        <bgColor rgb="FF1C1C1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4" fontId="6" fillId="3" borderId="3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3" fontId="6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/>
    <xf numFmtId="3" fontId="5" fillId="3" borderId="3" xfId="0" applyNumberFormat="1" applyFont="1" applyFill="1" applyBorder="1" applyAlignment="1">
      <alignment horizontal="right" vertical="center"/>
    </xf>
    <xf numFmtId="0" fontId="2" fillId="3" borderId="3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/>
    </xf>
    <xf numFmtId="14" fontId="6" fillId="4" borderId="3" xfId="0" applyNumberFormat="1" applyFont="1" applyFill="1" applyBorder="1" applyAlignment="1">
      <alignment horizontal="left" vertical="center"/>
    </xf>
    <xf numFmtId="164" fontId="6" fillId="4" borderId="3" xfId="0" applyNumberFormat="1" applyFont="1" applyFill="1" applyBorder="1" applyAlignment="1">
      <alignment horizontal="left" vertical="center"/>
    </xf>
    <xf numFmtId="3" fontId="6" fillId="4" borderId="3" xfId="0" applyNumberFormat="1" applyFont="1" applyFill="1" applyBorder="1" applyAlignment="1">
      <alignment horizontal="left" vertical="center"/>
    </xf>
    <xf numFmtId="10" fontId="5" fillId="4" borderId="3" xfId="0" applyNumberFormat="1" applyFont="1" applyFill="1" applyBorder="1" applyAlignment="1">
      <alignment horizontal="right" vertical="center"/>
    </xf>
    <xf numFmtId="3" fontId="5" fillId="4" borderId="3" xfId="0" applyNumberFormat="1" applyFont="1" applyFill="1" applyBorder="1" applyAlignment="1">
      <alignment horizontal="right" vertical="center"/>
    </xf>
    <xf numFmtId="9" fontId="6" fillId="4" borderId="3" xfId="0" applyNumberFormat="1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right" vertical="center"/>
    </xf>
    <xf numFmtId="10" fontId="7" fillId="4" borderId="3" xfId="0" applyNumberFormat="1" applyFont="1" applyFill="1" applyBorder="1" applyAlignment="1">
      <alignment horizontal="right" vertical="center"/>
    </xf>
    <xf numFmtId="1" fontId="5" fillId="4" borderId="3" xfId="0" applyNumberFormat="1" applyFont="1" applyFill="1" applyBorder="1" applyAlignment="1">
      <alignment horizontal="right" vertical="center"/>
    </xf>
    <xf numFmtId="0" fontId="2" fillId="4" borderId="3" xfId="0" applyFont="1" applyFill="1" applyBorder="1"/>
    <xf numFmtId="164" fontId="5" fillId="4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/>
    </xf>
    <xf numFmtId="14" fontId="6" fillId="5" borderId="3" xfId="0" applyNumberFormat="1" applyFont="1" applyFill="1" applyBorder="1" applyAlignment="1">
      <alignment horizontal="left" vertical="center"/>
    </xf>
    <xf numFmtId="164" fontId="6" fillId="5" borderId="3" xfId="0" applyNumberFormat="1" applyFont="1" applyFill="1" applyBorder="1" applyAlignment="1">
      <alignment horizontal="left" vertical="center"/>
    </xf>
    <xf numFmtId="3" fontId="6" fillId="5" borderId="3" xfId="0" applyNumberFormat="1" applyFont="1" applyFill="1" applyBorder="1" applyAlignment="1">
      <alignment horizontal="left" vertical="center"/>
    </xf>
    <xf numFmtId="10" fontId="5" fillId="5" borderId="3" xfId="0" applyNumberFormat="1" applyFont="1" applyFill="1" applyBorder="1" applyAlignment="1">
      <alignment horizontal="right" vertical="center"/>
    </xf>
    <xf numFmtId="3" fontId="5" fillId="5" borderId="3" xfId="0" applyNumberFormat="1" applyFont="1" applyFill="1" applyBorder="1" applyAlignment="1">
      <alignment horizontal="right" vertical="center"/>
    </xf>
    <xf numFmtId="9" fontId="6" fillId="5" borderId="3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right" vertical="center"/>
    </xf>
    <xf numFmtId="10" fontId="7" fillId="5" borderId="3" xfId="0" applyNumberFormat="1" applyFont="1" applyFill="1" applyBorder="1" applyAlignment="1">
      <alignment horizontal="right" vertical="center"/>
    </xf>
    <xf numFmtId="0" fontId="2" fillId="5" borderId="3" xfId="0" applyFont="1" applyFill="1" applyBorder="1"/>
    <xf numFmtId="1" fontId="5" fillId="5" borderId="3" xfId="0" applyNumberFormat="1" applyFont="1" applyFill="1" applyBorder="1" applyAlignment="1">
      <alignment horizontal="right" vertical="center"/>
    </xf>
    <xf numFmtId="164" fontId="5" fillId="5" borderId="3" xfId="0" applyNumberFormat="1" applyFont="1" applyFill="1" applyBorder="1" applyAlignment="1">
      <alignment horizontal="right" vertical="center"/>
    </xf>
    <xf numFmtId="14" fontId="5" fillId="3" borderId="3" xfId="0" applyNumberFormat="1" applyFont="1" applyFill="1" applyBorder="1" applyAlignment="1">
      <alignment horizontal="right" vertical="center"/>
    </xf>
    <xf numFmtId="1" fontId="5" fillId="3" borderId="3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3" fontId="7" fillId="3" borderId="3" xfId="0" applyNumberFormat="1" applyFont="1" applyFill="1" applyBorder="1" applyAlignment="1">
      <alignment horizontal="right" vertical="center"/>
    </xf>
    <xf numFmtId="10" fontId="5" fillId="3" borderId="3" xfId="0" applyNumberFormat="1" applyFont="1" applyFill="1" applyBorder="1" applyAlignment="1">
      <alignment horizontal="right" vertical="center"/>
    </xf>
    <xf numFmtId="3" fontId="6" fillId="3" borderId="3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2" fillId="6" borderId="1" xfId="0" applyFont="1" applyFill="1" applyBorder="1"/>
    <xf numFmtId="0" fontId="9" fillId="6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0" fontId="7" fillId="3" borderId="3" xfId="0" applyNumberFormat="1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right" vertical="center"/>
    </xf>
    <xf numFmtId="2" fontId="7" fillId="3" borderId="3" xfId="0" applyNumberFormat="1" applyFont="1" applyFill="1" applyBorder="1" applyAlignment="1">
      <alignment horizontal="right" vertical="center"/>
    </xf>
    <xf numFmtId="14" fontId="7" fillId="3" borderId="3" xfId="0" applyNumberFormat="1" applyFont="1" applyFill="1" applyBorder="1" applyAlignment="1">
      <alignment horizontal="right" vertical="center"/>
    </xf>
    <xf numFmtId="0" fontId="9" fillId="6" borderId="1" xfId="0" applyFont="1" applyFill="1" applyBorder="1"/>
    <xf numFmtId="0" fontId="6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5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00"/>
  </sheetPr>
  <dimension ref="A1:K1000"/>
  <sheetViews>
    <sheetView showGridLines="0" workbookViewId="0"/>
  </sheetViews>
  <sheetFormatPr defaultColWidth="14.42578125" defaultRowHeight="15" customHeight="1"/>
  <cols>
    <col min="1" max="1" width="5" customWidth="1"/>
    <col min="2" max="2" width="14" customWidth="1"/>
    <col min="3" max="3" width="16" customWidth="1"/>
    <col min="4" max="4" width="12" customWidth="1"/>
    <col min="5" max="7" width="18" customWidth="1"/>
    <col min="8" max="8" width="20" customWidth="1"/>
    <col min="9" max="9" width="32" customWidth="1"/>
    <col min="10" max="10" width="10" customWidth="1"/>
    <col min="11" max="26" width="8.7109375" customWidth="1"/>
  </cols>
  <sheetData>
    <row r="1" spans="1:1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7.7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2"/>
    </row>
    <row r="5" spans="1:11" ht="18" customHeight="1">
      <c r="A5" s="5">
        <f t="shared" ref="A5:A106" si="0">IFERROR(ROW()-4,"")</f>
        <v>1</v>
      </c>
      <c r="B5" s="6">
        <v>46082</v>
      </c>
      <c r="C5" s="7" t="s">
        <v>13</v>
      </c>
      <c r="D5" s="7" t="s">
        <v>14</v>
      </c>
      <c r="E5" s="8">
        <v>2000000000</v>
      </c>
      <c r="F5" s="9"/>
      <c r="G5" s="10">
        <f t="shared" ref="G5:G106" si="1">IF(AND(E5="",F5=""),"",IFERROR(E5,0)-IFERROR(F5,0))</f>
        <v>2000000000</v>
      </c>
      <c r="H5" s="10">
        <f>IF(AND(E5="",F5=""),"",G5)</f>
        <v>2000000000</v>
      </c>
      <c r="I5" s="7" t="s">
        <v>15</v>
      </c>
      <c r="J5" s="7" t="s">
        <v>16</v>
      </c>
      <c r="K5" s="2"/>
    </row>
    <row r="6" spans="1:11" ht="18" customHeight="1">
      <c r="A6" s="5">
        <f t="shared" si="0"/>
        <v>2</v>
      </c>
      <c r="B6" s="6">
        <v>46093</v>
      </c>
      <c r="C6" s="7" t="s">
        <v>17</v>
      </c>
      <c r="D6" s="7" t="s">
        <v>14</v>
      </c>
      <c r="E6" s="8">
        <v>50000000</v>
      </c>
      <c r="F6" s="9"/>
      <c r="G6" s="10">
        <f t="shared" si="1"/>
        <v>50000000</v>
      </c>
      <c r="H6" s="10">
        <f t="shared" ref="H6:H106" si="2">IF(AND(E6="",F6=""),"",H5+G6)</f>
        <v>2050000000</v>
      </c>
      <c r="I6" s="7" t="s">
        <v>18</v>
      </c>
      <c r="J6" s="7" t="s">
        <v>16</v>
      </c>
      <c r="K6" s="2"/>
    </row>
    <row r="7" spans="1:11" ht="18" customHeight="1">
      <c r="A7" s="5">
        <f t="shared" si="0"/>
        <v>3</v>
      </c>
      <c r="B7" s="11"/>
      <c r="C7" s="11"/>
      <c r="D7" s="11"/>
      <c r="E7" s="9"/>
      <c r="F7" s="9"/>
      <c r="G7" s="10" t="str">
        <f t="shared" si="1"/>
        <v/>
      </c>
      <c r="H7" s="10" t="str">
        <f t="shared" si="2"/>
        <v/>
      </c>
      <c r="I7" s="11"/>
      <c r="J7" s="11"/>
      <c r="K7" s="2"/>
    </row>
    <row r="8" spans="1:11" ht="18" customHeight="1">
      <c r="A8" s="5">
        <f t="shared" si="0"/>
        <v>4</v>
      </c>
      <c r="B8" s="11"/>
      <c r="C8" s="11"/>
      <c r="D8" s="11"/>
      <c r="E8" s="9"/>
      <c r="F8" s="9"/>
      <c r="G8" s="10" t="str">
        <f t="shared" si="1"/>
        <v/>
      </c>
      <c r="H8" s="10" t="str">
        <f t="shared" si="2"/>
        <v/>
      </c>
      <c r="I8" s="11"/>
      <c r="J8" s="11"/>
      <c r="K8" s="2"/>
    </row>
    <row r="9" spans="1:11" ht="18" customHeight="1">
      <c r="A9" s="5">
        <f t="shared" si="0"/>
        <v>5</v>
      </c>
      <c r="B9" s="11"/>
      <c r="C9" s="11"/>
      <c r="D9" s="11"/>
      <c r="E9" s="9"/>
      <c r="F9" s="9"/>
      <c r="G9" s="10" t="str">
        <f t="shared" si="1"/>
        <v/>
      </c>
      <c r="H9" s="10" t="str">
        <f t="shared" si="2"/>
        <v/>
      </c>
      <c r="I9" s="11"/>
      <c r="J9" s="11"/>
      <c r="K9" s="2"/>
    </row>
    <row r="10" spans="1:11" ht="18" customHeight="1">
      <c r="A10" s="5">
        <f t="shared" si="0"/>
        <v>6</v>
      </c>
      <c r="B10" s="11"/>
      <c r="C10" s="11"/>
      <c r="D10" s="11"/>
      <c r="E10" s="9"/>
      <c r="F10" s="9"/>
      <c r="G10" s="10" t="str">
        <f t="shared" si="1"/>
        <v/>
      </c>
      <c r="H10" s="10" t="str">
        <f t="shared" si="2"/>
        <v/>
      </c>
      <c r="I10" s="11"/>
      <c r="J10" s="11"/>
      <c r="K10" s="2"/>
    </row>
    <row r="11" spans="1:11" ht="18" customHeight="1">
      <c r="A11" s="5">
        <f t="shared" si="0"/>
        <v>7</v>
      </c>
      <c r="B11" s="11"/>
      <c r="C11" s="11"/>
      <c r="D11" s="11"/>
      <c r="E11" s="9"/>
      <c r="F11" s="9"/>
      <c r="G11" s="10" t="str">
        <f t="shared" si="1"/>
        <v/>
      </c>
      <c r="H11" s="10" t="str">
        <f t="shared" si="2"/>
        <v/>
      </c>
      <c r="I11" s="11"/>
      <c r="J11" s="11"/>
      <c r="K11" s="2"/>
    </row>
    <row r="12" spans="1:11" ht="18" customHeight="1">
      <c r="A12" s="5">
        <f t="shared" si="0"/>
        <v>8</v>
      </c>
      <c r="B12" s="11"/>
      <c r="C12" s="11"/>
      <c r="D12" s="11"/>
      <c r="E12" s="9"/>
      <c r="F12" s="9"/>
      <c r="G12" s="10" t="str">
        <f t="shared" si="1"/>
        <v/>
      </c>
      <c r="H12" s="10" t="str">
        <f t="shared" si="2"/>
        <v/>
      </c>
      <c r="I12" s="11"/>
      <c r="J12" s="11"/>
      <c r="K12" s="2"/>
    </row>
    <row r="13" spans="1:11" ht="18" customHeight="1">
      <c r="A13" s="5">
        <f t="shared" si="0"/>
        <v>9</v>
      </c>
      <c r="B13" s="11"/>
      <c r="C13" s="11"/>
      <c r="D13" s="11"/>
      <c r="E13" s="9"/>
      <c r="F13" s="9"/>
      <c r="G13" s="10" t="str">
        <f t="shared" si="1"/>
        <v/>
      </c>
      <c r="H13" s="10" t="str">
        <f t="shared" si="2"/>
        <v/>
      </c>
      <c r="I13" s="11"/>
      <c r="J13" s="11"/>
      <c r="K13" s="2"/>
    </row>
    <row r="14" spans="1:11" ht="18" customHeight="1">
      <c r="A14" s="5">
        <f t="shared" si="0"/>
        <v>10</v>
      </c>
      <c r="B14" s="11"/>
      <c r="C14" s="11"/>
      <c r="D14" s="11"/>
      <c r="E14" s="9"/>
      <c r="F14" s="9"/>
      <c r="G14" s="10" t="str">
        <f t="shared" si="1"/>
        <v/>
      </c>
      <c r="H14" s="10" t="str">
        <f t="shared" si="2"/>
        <v/>
      </c>
      <c r="I14" s="11"/>
      <c r="J14" s="11"/>
      <c r="K14" s="2"/>
    </row>
    <row r="15" spans="1:11" ht="18" customHeight="1">
      <c r="A15" s="5">
        <f t="shared" si="0"/>
        <v>11</v>
      </c>
      <c r="B15" s="11"/>
      <c r="C15" s="11"/>
      <c r="D15" s="11"/>
      <c r="E15" s="9"/>
      <c r="F15" s="9"/>
      <c r="G15" s="10" t="str">
        <f t="shared" si="1"/>
        <v/>
      </c>
      <c r="H15" s="10" t="str">
        <f t="shared" si="2"/>
        <v/>
      </c>
      <c r="I15" s="11"/>
      <c r="J15" s="11"/>
      <c r="K15" s="2"/>
    </row>
    <row r="16" spans="1:11" ht="18" customHeight="1">
      <c r="A16" s="5">
        <f t="shared" si="0"/>
        <v>12</v>
      </c>
      <c r="B16" s="11"/>
      <c r="C16" s="11"/>
      <c r="D16" s="11"/>
      <c r="E16" s="9"/>
      <c r="F16" s="9"/>
      <c r="G16" s="10" t="str">
        <f t="shared" si="1"/>
        <v/>
      </c>
      <c r="H16" s="10" t="str">
        <f t="shared" si="2"/>
        <v/>
      </c>
      <c r="I16" s="11"/>
      <c r="J16" s="11"/>
      <c r="K16" s="2"/>
    </row>
    <row r="17" spans="1:11" ht="18" customHeight="1">
      <c r="A17" s="5">
        <f t="shared" si="0"/>
        <v>13</v>
      </c>
      <c r="B17" s="11"/>
      <c r="C17" s="11"/>
      <c r="D17" s="11"/>
      <c r="E17" s="9"/>
      <c r="F17" s="9"/>
      <c r="G17" s="10" t="str">
        <f t="shared" si="1"/>
        <v/>
      </c>
      <c r="H17" s="10" t="str">
        <f t="shared" si="2"/>
        <v/>
      </c>
      <c r="I17" s="11"/>
      <c r="J17" s="11"/>
      <c r="K17" s="2"/>
    </row>
    <row r="18" spans="1:11" ht="18" customHeight="1">
      <c r="A18" s="5">
        <f t="shared" si="0"/>
        <v>14</v>
      </c>
      <c r="B18" s="11"/>
      <c r="C18" s="11"/>
      <c r="D18" s="11"/>
      <c r="E18" s="9"/>
      <c r="F18" s="9"/>
      <c r="G18" s="10" t="str">
        <f t="shared" si="1"/>
        <v/>
      </c>
      <c r="H18" s="10" t="str">
        <f t="shared" si="2"/>
        <v/>
      </c>
      <c r="I18" s="11"/>
      <c r="J18" s="11"/>
      <c r="K18" s="2"/>
    </row>
    <row r="19" spans="1:11" ht="18" customHeight="1">
      <c r="A19" s="5">
        <f t="shared" si="0"/>
        <v>15</v>
      </c>
      <c r="B19" s="11"/>
      <c r="C19" s="11"/>
      <c r="D19" s="11"/>
      <c r="E19" s="9"/>
      <c r="F19" s="9"/>
      <c r="G19" s="10" t="str">
        <f t="shared" si="1"/>
        <v/>
      </c>
      <c r="H19" s="10" t="str">
        <f t="shared" si="2"/>
        <v/>
      </c>
      <c r="I19" s="11"/>
      <c r="J19" s="11"/>
      <c r="K19" s="2"/>
    </row>
    <row r="20" spans="1:11" ht="18" customHeight="1">
      <c r="A20" s="5">
        <f t="shared" si="0"/>
        <v>16</v>
      </c>
      <c r="B20" s="11"/>
      <c r="C20" s="11"/>
      <c r="D20" s="11"/>
      <c r="E20" s="9"/>
      <c r="F20" s="9"/>
      <c r="G20" s="10" t="str">
        <f t="shared" si="1"/>
        <v/>
      </c>
      <c r="H20" s="10" t="str">
        <f t="shared" si="2"/>
        <v/>
      </c>
      <c r="I20" s="11"/>
      <c r="J20" s="11"/>
      <c r="K20" s="2"/>
    </row>
    <row r="21" spans="1:11" ht="18" customHeight="1">
      <c r="A21" s="5">
        <f t="shared" si="0"/>
        <v>17</v>
      </c>
      <c r="B21" s="11"/>
      <c r="C21" s="11"/>
      <c r="D21" s="11"/>
      <c r="E21" s="9"/>
      <c r="F21" s="9"/>
      <c r="G21" s="10" t="str">
        <f t="shared" si="1"/>
        <v/>
      </c>
      <c r="H21" s="10" t="str">
        <f t="shared" si="2"/>
        <v/>
      </c>
      <c r="I21" s="11"/>
      <c r="J21" s="11"/>
      <c r="K21" s="2"/>
    </row>
    <row r="22" spans="1:11" ht="18" customHeight="1">
      <c r="A22" s="5">
        <f t="shared" si="0"/>
        <v>18</v>
      </c>
      <c r="B22" s="11"/>
      <c r="C22" s="11"/>
      <c r="D22" s="11"/>
      <c r="E22" s="9"/>
      <c r="F22" s="9"/>
      <c r="G22" s="10" t="str">
        <f t="shared" si="1"/>
        <v/>
      </c>
      <c r="H22" s="10" t="str">
        <f t="shared" si="2"/>
        <v/>
      </c>
      <c r="I22" s="11"/>
      <c r="J22" s="11"/>
      <c r="K22" s="2"/>
    </row>
    <row r="23" spans="1:11" ht="18" customHeight="1">
      <c r="A23" s="5">
        <f t="shared" si="0"/>
        <v>19</v>
      </c>
      <c r="B23" s="11"/>
      <c r="C23" s="11"/>
      <c r="D23" s="11"/>
      <c r="E23" s="9"/>
      <c r="F23" s="9"/>
      <c r="G23" s="10" t="str">
        <f t="shared" si="1"/>
        <v/>
      </c>
      <c r="H23" s="10" t="str">
        <f t="shared" si="2"/>
        <v/>
      </c>
      <c r="I23" s="11"/>
      <c r="J23" s="11"/>
      <c r="K23" s="2"/>
    </row>
    <row r="24" spans="1:11" ht="18" customHeight="1">
      <c r="A24" s="5">
        <f t="shared" si="0"/>
        <v>20</v>
      </c>
      <c r="B24" s="11"/>
      <c r="C24" s="11"/>
      <c r="D24" s="11"/>
      <c r="E24" s="9"/>
      <c r="F24" s="9"/>
      <c r="G24" s="10" t="str">
        <f t="shared" si="1"/>
        <v/>
      </c>
      <c r="H24" s="10" t="str">
        <f t="shared" si="2"/>
        <v/>
      </c>
      <c r="I24" s="11"/>
      <c r="J24" s="11"/>
      <c r="K24" s="2"/>
    </row>
    <row r="25" spans="1:11" ht="18" customHeight="1">
      <c r="A25" s="5">
        <f t="shared" si="0"/>
        <v>21</v>
      </c>
      <c r="B25" s="11"/>
      <c r="C25" s="11"/>
      <c r="D25" s="11"/>
      <c r="E25" s="9"/>
      <c r="F25" s="9"/>
      <c r="G25" s="10" t="str">
        <f t="shared" si="1"/>
        <v/>
      </c>
      <c r="H25" s="10" t="str">
        <f t="shared" si="2"/>
        <v/>
      </c>
      <c r="I25" s="11"/>
      <c r="J25" s="11"/>
      <c r="K25" s="2"/>
    </row>
    <row r="26" spans="1:11" ht="18" customHeight="1">
      <c r="A26" s="5">
        <f t="shared" si="0"/>
        <v>22</v>
      </c>
      <c r="B26" s="11"/>
      <c r="C26" s="11"/>
      <c r="D26" s="11"/>
      <c r="E26" s="9"/>
      <c r="F26" s="9"/>
      <c r="G26" s="10" t="str">
        <f t="shared" si="1"/>
        <v/>
      </c>
      <c r="H26" s="10" t="str">
        <f t="shared" si="2"/>
        <v/>
      </c>
      <c r="I26" s="11"/>
      <c r="J26" s="11"/>
      <c r="K26" s="2"/>
    </row>
    <row r="27" spans="1:11" ht="18" customHeight="1">
      <c r="A27" s="5">
        <f t="shared" si="0"/>
        <v>23</v>
      </c>
      <c r="B27" s="11"/>
      <c r="C27" s="11"/>
      <c r="D27" s="11"/>
      <c r="E27" s="9"/>
      <c r="F27" s="9"/>
      <c r="G27" s="10" t="str">
        <f t="shared" si="1"/>
        <v/>
      </c>
      <c r="H27" s="10" t="str">
        <f t="shared" si="2"/>
        <v/>
      </c>
      <c r="I27" s="11"/>
      <c r="J27" s="11"/>
      <c r="K27" s="2"/>
    </row>
    <row r="28" spans="1:11" ht="18" customHeight="1">
      <c r="A28" s="5">
        <f t="shared" si="0"/>
        <v>24</v>
      </c>
      <c r="B28" s="11"/>
      <c r="C28" s="11"/>
      <c r="D28" s="11"/>
      <c r="E28" s="9"/>
      <c r="F28" s="9"/>
      <c r="G28" s="10" t="str">
        <f t="shared" si="1"/>
        <v/>
      </c>
      <c r="H28" s="10" t="str">
        <f t="shared" si="2"/>
        <v/>
      </c>
      <c r="I28" s="11"/>
      <c r="J28" s="11"/>
      <c r="K28" s="2"/>
    </row>
    <row r="29" spans="1:11" ht="18" customHeight="1">
      <c r="A29" s="5">
        <f t="shared" si="0"/>
        <v>25</v>
      </c>
      <c r="B29" s="11"/>
      <c r="C29" s="11"/>
      <c r="D29" s="11"/>
      <c r="E29" s="9"/>
      <c r="F29" s="9"/>
      <c r="G29" s="10" t="str">
        <f t="shared" si="1"/>
        <v/>
      </c>
      <c r="H29" s="10" t="str">
        <f t="shared" si="2"/>
        <v/>
      </c>
      <c r="I29" s="11"/>
      <c r="J29" s="11"/>
      <c r="K29" s="2"/>
    </row>
    <row r="30" spans="1:11" ht="18" customHeight="1">
      <c r="A30" s="5">
        <f t="shared" si="0"/>
        <v>26</v>
      </c>
      <c r="B30" s="11"/>
      <c r="C30" s="11"/>
      <c r="D30" s="11"/>
      <c r="E30" s="9"/>
      <c r="F30" s="9"/>
      <c r="G30" s="10" t="str">
        <f t="shared" si="1"/>
        <v/>
      </c>
      <c r="H30" s="10" t="str">
        <f t="shared" si="2"/>
        <v/>
      </c>
      <c r="I30" s="11"/>
      <c r="J30" s="11"/>
      <c r="K30" s="2"/>
    </row>
    <row r="31" spans="1:11" ht="18" customHeight="1">
      <c r="A31" s="5">
        <f t="shared" si="0"/>
        <v>27</v>
      </c>
      <c r="B31" s="11"/>
      <c r="C31" s="11"/>
      <c r="D31" s="11"/>
      <c r="E31" s="9"/>
      <c r="F31" s="9"/>
      <c r="G31" s="10" t="str">
        <f t="shared" si="1"/>
        <v/>
      </c>
      <c r="H31" s="10" t="str">
        <f t="shared" si="2"/>
        <v/>
      </c>
      <c r="I31" s="11"/>
      <c r="J31" s="11"/>
      <c r="K31" s="2"/>
    </row>
    <row r="32" spans="1:11" ht="18" customHeight="1">
      <c r="A32" s="5">
        <f t="shared" si="0"/>
        <v>28</v>
      </c>
      <c r="B32" s="11"/>
      <c r="C32" s="11"/>
      <c r="D32" s="11"/>
      <c r="E32" s="9"/>
      <c r="F32" s="9"/>
      <c r="G32" s="10" t="str">
        <f t="shared" si="1"/>
        <v/>
      </c>
      <c r="H32" s="10" t="str">
        <f t="shared" si="2"/>
        <v/>
      </c>
      <c r="I32" s="11"/>
      <c r="J32" s="11"/>
      <c r="K32" s="2"/>
    </row>
    <row r="33" spans="1:11" ht="18" customHeight="1">
      <c r="A33" s="5">
        <f t="shared" si="0"/>
        <v>29</v>
      </c>
      <c r="B33" s="11"/>
      <c r="C33" s="11"/>
      <c r="D33" s="11"/>
      <c r="E33" s="9"/>
      <c r="F33" s="9"/>
      <c r="G33" s="10" t="str">
        <f t="shared" si="1"/>
        <v/>
      </c>
      <c r="H33" s="10" t="str">
        <f t="shared" si="2"/>
        <v/>
      </c>
      <c r="I33" s="11"/>
      <c r="J33" s="11"/>
      <c r="K33" s="2"/>
    </row>
    <row r="34" spans="1:11" ht="18" customHeight="1">
      <c r="A34" s="5">
        <f t="shared" si="0"/>
        <v>30</v>
      </c>
      <c r="B34" s="11"/>
      <c r="C34" s="11"/>
      <c r="D34" s="11"/>
      <c r="E34" s="9"/>
      <c r="F34" s="9"/>
      <c r="G34" s="10" t="str">
        <f t="shared" si="1"/>
        <v/>
      </c>
      <c r="H34" s="10" t="str">
        <f t="shared" si="2"/>
        <v/>
      </c>
      <c r="I34" s="11"/>
      <c r="J34" s="11"/>
      <c r="K34" s="2"/>
    </row>
    <row r="35" spans="1:11" ht="18" customHeight="1">
      <c r="A35" s="5">
        <f t="shared" si="0"/>
        <v>31</v>
      </c>
      <c r="B35" s="11"/>
      <c r="C35" s="11"/>
      <c r="D35" s="11"/>
      <c r="E35" s="9"/>
      <c r="F35" s="9"/>
      <c r="G35" s="10" t="str">
        <f t="shared" si="1"/>
        <v/>
      </c>
      <c r="H35" s="10" t="str">
        <f t="shared" si="2"/>
        <v/>
      </c>
      <c r="I35" s="11"/>
      <c r="J35" s="11"/>
      <c r="K35" s="2"/>
    </row>
    <row r="36" spans="1:11" ht="18" customHeight="1">
      <c r="A36" s="5">
        <f t="shared" si="0"/>
        <v>32</v>
      </c>
      <c r="B36" s="11"/>
      <c r="C36" s="11"/>
      <c r="D36" s="11"/>
      <c r="E36" s="9"/>
      <c r="F36" s="9"/>
      <c r="G36" s="10" t="str">
        <f t="shared" si="1"/>
        <v/>
      </c>
      <c r="H36" s="10" t="str">
        <f t="shared" si="2"/>
        <v/>
      </c>
      <c r="I36" s="11"/>
      <c r="J36" s="11"/>
      <c r="K36" s="2"/>
    </row>
    <row r="37" spans="1:11" ht="18" customHeight="1">
      <c r="A37" s="5">
        <f t="shared" si="0"/>
        <v>33</v>
      </c>
      <c r="B37" s="11"/>
      <c r="C37" s="11"/>
      <c r="D37" s="11"/>
      <c r="E37" s="9"/>
      <c r="F37" s="9"/>
      <c r="G37" s="10" t="str">
        <f t="shared" si="1"/>
        <v/>
      </c>
      <c r="H37" s="10" t="str">
        <f t="shared" si="2"/>
        <v/>
      </c>
      <c r="I37" s="11"/>
      <c r="J37" s="11"/>
      <c r="K37" s="2"/>
    </row>
    <row r="38" spans="1:11" ht="18" customHeight="1">
      <c r="A38" s="5">
        <f t="shared" si="0"/>
        <v>34</v>
      </c>
      <c r="B38" s="11"/>
      <c r="C38" s="11"/>
      <c r="D38" s="11"/>
      <c r="E38" s="9"/>
      <c r="F38" s="9"/>
      <c r="G38" s="10" t="str">
        <f t="shared" si="1"/>
        <v/>
      </c>
      <c r="H38" s="10" t="str">
        <f t="shared" si="2"/>
        <v/>
      </c>
      <c r="I38" s="11"/>
      <c r="J38" s="11"/>
      <c r="K38" s="2"/>
    </row>
    <row r="39" spans="1:11" ht="18" customHeight="1">
      <c r="A39" s="5">
        <f t="shared" si="0"/>
        <v>35</v>
      </c>
      <c r="B39" s="11"/>
      <c r="C39" s="11"/>
      <c r="D39" s="11"/>
      <c r="E39" s="9"/>
      <c r="F39" s="9"/>
      <c r="G39" s="10" t="str">
        <f t="shared" si="1"/>
        <v/>
      </c>
      <c r="H39" s="10" t="str">
        <f t="shared" si="2"/>
        <v/>
      </c>
      <c r="I39" s="11"/>
      <c r="J39" s="11"/>
      <c r="K39" s="2"/>
    </row>
    <row r="40" spans="1:11" ht="18" customHeight="1">
      <c r="A40" s="5">
        <f t="shared" si="0"/>
        <v>36</v>
      </c>
      <c r="B40" s="11"/>
      <c r="C40" s="11"/>
      <c r="D40" s="11"/>
      <c r="E40" s="9"/>
      <c r="F40" s="9"/>
      <c r="G40" s="10" t="str">
        <f t="shared" si="1"/>
        <v/>
      </c>
      <c r="H40" s="10" t="str">
        <f t="shared" si="2"/>
        <v/>
      </c>
      <c r="I40" s="11"/>
      <c r="J40" s="11"/>
      <c r="K40" s="2"/>
    </row>
    <row r="41" spans="1:11" ht="18" customHeight="1">
      <c r="A41" s="5">
        <f t="shared" si="0"/>
        <v>37</v>
      </c>
      <c r="B41" s="11"/>
      <c r="C41" s="11"/>
      <c r="D41" s="11"/>
      <c r="E41" s="9"/>
      <c r="F41" s="9"/>
      <c r="G41" s="10" t="str">
        <f t="shared" si="1"/>
        <v/>
      </c>
      <c r="H41" s="10" t="str">
        <f t="shared" si="2"/>
        <v/>
      </c>
      <c r="I41" s="11"/>
      <c r="J41" s="11"/>
      <c r="K41" s="2"/>
    </row>
    <row r="42" spans="1:11" ht="18" customHeight="1">
      <c r="A42" s="5">
        <f t="shared" si="0"/>
        <v>38</v>
      </c>
      <c r="B42" s="11"/>
      <c r="C42" s="11"/>
      <c r="D42" s="11"/>
      <c r="E42" s="9"/>
      <c r="F42" s="9"/>
      <c r="G42" s="10" t="str">
        <f t="shared" si="1"/>
        <v/>
      </c>
      <c r="H42" s="10" t="str">
        <f t="shared" si="2"/>
        <v/>
      </c>
      <c r="I42" s="11"/>
      <c r="J42" s="11"/>
      <c r="K42" s="2"/>
    </row>
    <row r="43" spans="1:11" ht="18" customHeight="1">
      <c r="A43" s="5">
        <f t="shared" si="0"/>
        <v>39</v>
      </c>
      <c r="B43" s="11"/>
      <c r="C43" s="11"/>
      <c r="D43" s="11"/>
      <c r="E43" s="9"/>
      <c r="F43" s="9"/>
      <c r="G43" s="10" t="str">
        <f t="shared" si="1"/>
        <v/>
      </c>
      <c r="H43" s="10" t="str">
        <f t="shared" si="2"/>
        <v/>
      </c>
      <c r="I43" s="11"/>
      <c r="J43" s="11"/>
      <c r="K43" s="2"/>
    </row>
    <row r="44" spans="1:11" ht="18" customHeight="1">
      <c r="A44" s="5">
        <f t="shared" si="0"/>
        <v>40</v>
      </c>
      <c r="B44" s="11"/>
      <c r="C44" s="11"/>
      <c r="D44" s="11"/>
      <c r="E44" s="9"/>
      <c r="F44" s="9"/>
      <c r="G44" s="10" t="str">
        <f t="shared" si="1"/>
        <v/>
      </c>
      <c r="H44" s="10" t="str">
        <f t="shared" si="2"/>
        <v/>
      </c>
      <c r="I44" s="11"/>
      <c r="J44" s="11"/>
      <c r="K44" s="2"/>
    </row>
    <row r="45" spans="1:11" ht="18" customHeight="1">
      <c r="A45" s="5">
        <f t="shared" si="0"/>
        <v>41</v>
      </c>
      <c r="B45" s="11"/>
      <c r="C45" s="11"/>
      <c r="D45" s="11"/>
      <c r="E45" s="9"/>
      <c r="F45" s="9"/>
      <c r="G45" s="10" t="str">
        <f t="shared" si="1"/>
        <v/>
      </c>
      <c r="H45" s="10" t="str">
        <f t="shared" si="2"/>
        <v/>
      </c>
      <c r="I45" s="11"/>
      <c r="J45" s="11"/>
      <c r="K45" s="2"/>
    </row>
    <row r="46" spans="1:11" ht="18" customHeight="1">
      <c r="A46" s="5">
        <f t="shared" si="0"/>
        <v>42</v>
      </c>
      <c r="B46" s="11"/>
      <c r="C46" s="11"/>
      <c r="D46" s="11"/>
      <c r="E46" s="9"/>
      <c r="F46" s="9"/>
      <c r="G46" s="10" t="str">
        <f t="shared" si="1"/>
        <v/>
      </c>
      <c r="H46" s="10" t="str">
        <f t="shared" si="2"/>
        <v/>
      </c>
      <c r="I46" s="11"/>
      <c r="J46" s="11"/>
      <c r="K46" s="2"/>
    </row>
    <row r="47" spans="1:11" ht="18" customHeight="1">
      <c r="A47" s="5">
        <f t="shared" si="0"/>
        <v>43</v>
      </c>
      <c r="B47" s="11"/>
      <c r="C47" s="11"/>
      <c r="D47" s="11"/>
      <c r="E47" s="9"/>
      <c r="F47" s="9"/>
      <c r="G47" s="10" t="str">
        <f t="shared" si="1"/>
        <v/>
      </c>
      <c r="H47" s="10" t="str">
        <f t="shared" si="2"/>
        <v/>
      </c>
      <c r="I47" s="11"/>
      <c r="J47" s="11"/>
      <c r="K47" s="2"/>
    </row>
    <row r="48" spans="1:11" ht="18" customHeight="1">
      <c r="A48" s="5">
        <f t="shared" si="0"/>
        <v>44</v>
      </c>
      <c r="B48" s="11"/>
      <c r="C48" s="11"/>
      <c r="D48" s="11"/>
      <c r="E48" s="9"/>
      <c r="F48" s="9"/>
      <c r="G48" s="10" t="str">
        <f t="shared" si="1"/>
        <v/>
      </c>
      <c r="H48" s="10" t="str">
        <f t="shared" si="2"/>
        <v/>
      </c>
      <c r="I48" s="11"/>
      <c r="J48" s="11"/>
      <c r="K48" s="2"/>
    </row>
    <row r="49" spans="1:11" ht="18" customHeight="1">
      <c r="A49" s="5">
        <f t="shared" si="0"/>
        <v>45</v>
      </c>
      <c r="B49" s="11"/>
      <c r="C49" s="11"/>
      <c r="D49" s="11"/>
      <c r="E49" s="9"/>
      <c r="F49" s="9"/>
      <c r="G49" s="10" t="str">
        <f t="shared" si="1"/>
        <v/>
      </c>
      <c r="H49" s="10" t="str">
        <f t="shared" si="2"/>
        <v/>
      </c>
      <c r="I49" s="11"/>
      <c r="J49" s="11"/>
      <c r="K49" s="2"/>
    </row>
    <row r="50" spans="1:11" ht="18" customHeight="1">
      <c r="A50" s="5">
        <f t="shared" si="0"/>
        <v>46</v>
      </c>
      <c r="B50" s="11"/>
      <c r="C50" s="11"/>
      <c r="D50" s="11"/>
      <c r="E50" s="9"/>
      <c r="F50" s="9"/>
      <c r="G50" s="10" t="str">
        <f t="shared" si="1"/>
        <v/>
      </c>
      <c r="H50" s="10" t="str">
        <f t="shared" si="2"/>
        <v/>
      </c>
      <c r="I50" s="11"/>
      <c r="J50" s="11"/>
      <c r="K50" s="2"/>
    </row>
    <row r="51" spans="1:11" ht="18" customHeight="1">
      <c r="A51" s="5">
        <f t="shared" si="0"/>
        <v>47</v>
      </c>
      <c r="B51" s="11"/>
      <c r="C51" s="11"/>
      <c r="D51" s="11"/>
      <c r="E51" s="9"/>
      <c r="F51" s="9"/>
      <c r="G51" s="10" t="str">
        <f t="shared" si="1"/>
        <v/>
      </c>
      <c r="H51" s="10" t="str">
        <f t="shared" si="2"/>
        <v/>
      </c>
      <c r="I51" s="11"/>
      <c r="J51" s="11"/>
      <c r="K51" s="2"/>
    </row>
    <row r="52" spans="1:11" ht="18" customHeight="1">
      <c r="A52" s="5">
        <f t="shared" si="0"/>
        <v>48</v>
      </c>
      <c r="B52" s="11"/>
      <c r="C52" s="11"/>
      <c r="D52" s="11"/>
      <c r="E52" s="9"/>
      <c r="F52" s="9"/>
      <c r="G52" s="10" t="str">
        <f t="shared" si="1"/>
        <v/>
      </c>
      <c r="H52" s="10" t="str">
        <f t="shared" si="2"/>
        <v/>
      </c>
      <c r="I52" s="11"/>
      <c r="J52" s="11"/>
      <c r="K52" s="2"/>
    </row>
    <row r="53" spans="1:11" ht="18" customHeight="1">
      <c r="A53" s="5">
        <f t="shared" si="0"/>
        <v>49</v>
      </c>
      <c r="B53" s="11"/>
      <c r="C53" s="11"/>
      <c r="D53" s="11"/>
      <c r="E53" s="9"/>
      <c r="F53" s="9"/>
      <c r="G53" s="10" t="str">
        <f t="shared" si="1"/>
        <v/>
      </c>
      <c r="H53" s="10" t="str">
        <f t="shared" si="2"/>
        <v/>
      </c>
      <c r="I53" s="11"/>
      <c r="J53" s="11"/>
      <c r="K53" s="2"/>
    </row>
    <row r="54" spans="1:11" ht="18" customHeight="1">
      <c r="A54" s="5">
        <f t="shared" si="0"/>
        <v>50</v>
      </c>
      <c r="B54" s="11"/>
      <c r="C54" s="11"/>
      <c r="D54" s="11"/>
      <c r="E54" s="9"/>
      <c r="F54" s="9"/>
      <c r="G54" s="10" t="str">
        <f t="shared" si="1"/>
        <v/>
      </c>
      <c r="H54" s="10" t="str">
        <f t="shared" si="2"/>
        <v/>
      </c>
      <c r="I54" s="11"/>
      <c r="J54" s="11"/>
      <c r="K54" s="2"/>
    </row>
    <row r="55" spans="1:11" ht="18" customHeight="1">
      <c r="A55" s="5">
        <f t="shared" si="0"/>
        <v>51</v>
      </c>
      <c r="B55" s="11"/>
      <c r="C55" s="11"/>
      <c r="D55" s="11"/>
      <c r="E55" s="9"/>
      <c r="F55" s="9"/>
      <c r="G55" s="10" t="str">
        <f t="shared" si="1"/>
        <v/>
      </c>
      <c r="H55" s="10" t="str">
        <f t="shared" si="2"/>
        <v/>
      </c>
      <c r="I55" s="11"/>
      <c r="J55" s="11"/>
      <c r="K55" s="2"/>
    </row>
    <row r="56" spans="1:11" ht="18" customHeight="1">
      <c r="A56" s="5">
        <f t="shared" si="0"/>
        <v>52</v>
      </c>
      <c r="B56" s="11"/>
      <c r="C56" s="11"/>
      <c r="D56" s="11"/>
      <c r="E56" s="9"/>
      <c r="F56" s="9"/>
      <c r="G56" s="10" t="str">
        <f t="shared" si="1"/>
        <v/>
      </c>
      <c r="H56" s="10" t="str">
        <f t="shared" si="2"/>
        <v/>
      </c>
      <c r="I56" s="11"/>
      <c r="J56" s="11"/>
      <c r="K56" s="2"/>
    </row>
    <row r="57" spans="1:11" ht="18" customHeight="1">
      <c r="A57" s="5">
        <f t="shared" si="0"/>
        <v>53</v>
      </c>
      <c r="B57" s="11"/>
      <c r="C57" s="11"/>
      <c r="D57" s="11"/>
      <c r="E57" s="9"/>
      <c r="F57" s="9"/>
      <c r="G57" s="10" t="str">
        <f t="shared" si="1"/>
        <v/>
      </c>
      <c r="H57" s="10" t="str">
        <f t="shared" si="2"/>
        <v/>
      </c>
      <c r="I57" s="11"/>
      <c r="J57" s="11"/>
      <c r="K57" s="2"/>
    </row>
    <row r="58" spans="1:11" ht="18" customHeight="1">
      <c r="A58" s="5">
        <f t="shared" si="0"/>
        <v>54</v>
      </c>
      <c r="B58" s="11"/>
      <c r="C58" s="11"/>
      <c r="D58" s="11"/>
      <c r="E58" s="9"/>
      <c r="F58" s="9"/>
      <c r="G58" s="10" t="str">
        <f t="shared" si="1"/>
        <v/>
      </c>
      <c r="H58" s="10" t="str">
        <f t="shared" si="2"/>
        <v/>
      </c>
      <c r="I58" s="11"/>
      <c r="J58" s="11"/>
      <c r="K58" s="2"/>
    </row>
    <row r="59" spans="1:11" ht="18" customHeight="1">
      <c r="A59" s="5">
        <f t="shared" si="0"/>
        <v>55</v>
      </c>
      <c r="B59" s="11"/>
      <c r="C59" s="11"/>
      <c r="D59" s="11"/>
      <c r="E59" s="9"/>
      <c r="F59" s="9"/>
      <c r="G59" s="10" t="str">
        <f t="shared" si="1"/>
        <v/>
      </c>
      <c r="H59" s="10" t="str">
        <f t="shared" si="2"/>
        <v/>
      </c>
      <c r="I59" s="11"/>
      <c r="J59" s="11"/>
      <c r="K59" s="2"/>
    </row>
    <row r="60" spans="1:11" ht="18" customHeight="1">
      <c r="A60" s="5">
        <f t="shared" si="0"/>
        <v>56</v>
      </c>
      <c r="B60" s="11"/>
      <c r="C60" s="11"/>
      <c r="D60" s="11"/>
      <c r="E60" s="9"/>
      <c r="F60" s="9"/>
      <c r="G60" s="10" t="str">
        <f t="shared" si="1"/>
        <v/>
      </c>
      <c r="H60" s="10" t="str">
        <f t="shared" si="2"/>
        <v/>
      </c>
      <c r="I60" s="11"/>
      <c r="J60" s="11"/>
      <c r="K60" s="2"/>
    </row>
    <row r="61" spans="1:11" ht="18" customHeight="1">
      <c r="A61" s="5">
        <f t="shared" si="0"/>
        <v>57</v>
      </c>
      <c r="B61" s="11"/>
      <c r="C61" s="11"/>
      <c r="D61" s="11"/>
      <c r="E61" s="9"/>
      <c r="F61" s="9"/>
      <c r="G61" s="10" t="str">
        <f t="shared" si="1"/>
        <v/>
      </c>
      <c r="H61" s="10" t="str">
        <f t="shared" si="2"/>
        <v/>
      </c>
      <c r="I61" s="11"/>
      <c r="J61" s="11"/>
      <c r="K61" s="2"/>
    </row>
    <row r="62" spans="1:11" ht="18" customHeight="1">
      <c r="A62" s="5">
        <f t="shared" si="0"/>
        <v>58</v>
      </c>
      <c r="B62" s="11"/>
      <c r="C62" s="11"/>
      <c r="D62" s="11"/>
      <c r="E62" s="9"/>
      <c r="F62" s="9"/>
      <c r="G62" s="10" t="str">
        <f t="shared" si="1"/>
        <v/>
      </c>
      <c r="H62" s="10" t="str">
        <f t="shared" si="2"/>
        <v/>
      </c>
      <c r="I62" s="11"/>
      <c r="J62" s="11"/>
      <c r="K62" s="2"/>
    </row>
    <row r="63" spans="1:11" ht="18" customHeight="1">
      <c r="A63" s="5">
        <f t="shared" si="0"/>
        <v>59</v>
      </c>
      <c r="B63" s="11"/>
      <c r="C63" s="11"/>
      <c r="D63" s="11"/>
      <c r="E63" s="9"/>
      <c r="F63" s="9"/>
      <c r="G63" s="10" t="str">
        <f t="shared" si="1"/>
        <v/>
      </c>
      <c r="H63" s="10" t="str">
        <f t="shared" si="2"/>
        <v/>
      </c>
      <c r="I63" s="11"/>
      <c r="J63" s="11"/>
      <c r="K63" s="2"/>
    </row>
    <row r="64" spans="1:11" ht="18" customHeight="1">
      <c r="A64" s="5">
        <f t="shared" si="0"/>
        <v>60</v>
      </c>
      <c r="B64" s="11"/>
      <c r="C64" s="11"/>
      <c r="D64" s="11"/>
      <c r="E64" s="9"/>
      <c r="F64" s="9"/>
      <c r="G64" s="10" t="str">
        <f t="shared" si="1"/>
        <v/>
      </c>
      <c r="H64" s="10" t="str">
        <f t="shared" si="2"/>
        <v/>
      </c>
      <c r="I64" s="11"/>
      <c r="J64" s="11"/>
      <c r="K64" s="2"/>
    </row>
    <row r="65" spans="1:11" ht="18" customHeight="1">
      <c r="A65" s="5">
        <f t="shared" si="0"/>
        <v>61</v>
      </c>
      <c r="B65" s="11"/>
      <c r="C65" s="11"/>
      <c r="D65" s="11"/>
      <c r="E65" s="9"/>
      <c r="F65" s="9"/>
      <c r="G65" s="10" t="str">
        <f t="shared" si="1"/>
        <v/>
      </c>
      <c r="H65" s="10" t="str">
        <f t="shared" si="2"/>
        <v/>
      </c>
      <c r="I65" s="11"/>
      <c r="J65" s="11"/>
      <c r="K65" s="2"/>
    </row>
    <row r="66" spans="1:11" ht="18" customHeight="1">
      <c r="A66" s="5">
        <f t="shared" si="0"/>
        <v>62</v>
      </c>
      <c r="B66" s="11"/>
      <c r="C66" s="11"/>
      <c r="D66" s="11"/>
      <c r="E66" s="9"/>
      <c r="F66" s="9"/>
      <c r="G66" s="10" t="str">
        <f t="shared" si="1"/>
        <v/>
      </c>
      <c r="H66" s="10" t="str">
        <f t="shared" si="2"/>
        <v/>
      </c>
      <c r="I66" s="11"/>
      <c r="J66" s="11"/>
      <c r="K66" s="2"/>
    </row>
    <row r="67" spans="1:11" ht="18" customHeight="1">
      <c r="A67" s="5">
        <f t="shared" si="0"/>
        <v>63</v>
      </c>
      <c r="B67" s="11"/>
      <c r="C67" s="11"/>
      <c r="D67" s="11"/>
      <c r="E67" s="9"/>
      <c r="F67" s="9"/>
      <c r="G67" s="10" t="str">
        <f t="shared" si="1"/>
        <v/>
      </c>
      <c r="H67" s="10" t="str">
        <f t="shared" si="2"/>
        <v/>
      </c>
      <c r="I67" s="11"/>
      <c r="J67" s="11"/>
      <c r="K67" s="2"/>
    </row>
    <row r="68" spans="1:11" ht="18" customHeight="1">
      <c r="A68" s="5">
        <f t="shared" si="0"/>
        <v>64</v>
      </c>
      <c r="B68" s="11"/>
      <c r="C68" s="11"/>
      <c r="D68" s="11"/>
      <c r="E68" s="9"/>
      <c r="F68" s="9"/>
      <c r="G68" s="10" t="str">
        <f t="shared" si="1"/>
        <v/>
      </c>
      <c r="H68" s="10" t="str">
        <f t="shared" si="2"/>
        <v/>
      </c>
      <c r="I68" s="11"/>
      <c r="J68" s="11"/>
      <c r="K68" s="2"/>
    </row>
    <row r="69" spans="1:11" ht="18" customHeight="1">
      <c r="A69" s="5">
        <f t="shared" si="0"/>
        <v>65</v>
      </c>
      <c r="B69" s="11"/>
      <c r="C69" s="11"/>
      <c r="D69" s="11"/>
      <c r="E69" s="9"/>
      <c r="F69" s="9"/>
      <c r="G69" s="10" t="str">
        <f t="shared" si="1"/>
        <v/>
      </c>
      <c r="H69" s="10" t="str">
        <f t="shared" si="2"/>
        <v/>
      </c>
      <c r="I69" s="11"/>
      <c r="J69" s="11"/>
      <c r="K69" s="2"/>
    </row>
    <row r="70" spans="1:11" ht="18" customHeight="1">
      <c r="A70" s="5">
        <f t="shared" si="0"/>
        <v>66</v>
      </c>
      <c r="B70" s="11"/>
      <c r="C70" s="11"/>
      <c r="D70" s="11"/>
      <c r="E70" s="9"/>
      <c r="F70" s="9"/>
      <c r="G70" s="10" t="str">
        <f t="shared" si="1"/>
        <v/>
      </c>
      <c r="H70" s="10" t="str">
        <f t="shared" si="2"/>
        <v/>
      </c>
      <c r="I70" s="11"/>
      <c r="J70" s="11"/>
      <c r="K70" s="2"/>
    </row>
    <row r="71" spans="1:11" ht="18" customHeight="1">
      <c r="A71" s="5">
        <f t="shared" si="0"/>
        <v>67</v>
      </c>
      <c r="B71" s="11"/>
      <c r="C71" s="11"/>
      <c r="D71" s="11"/>
      <c r="E71" s="9"/>
      <c r="F71" s="9"/>
      <c r="G71" s="10" t="str">
        <f t="shared" si="1"/>
        <v/>
      </c>
      <c r="H71" s="10" t="str">
        <f t="shared" si="2"/>
        <v/>
      </c>
      <c r="I71" s="11"/>
      <c r="J71" s="11"/>
      <c r="K71" s="2"/>
    </row>
    <row r="72" spans="1:11" ht="18" customHeight="1">
      <c r="A72" s="5">
        <f t="shared" si="0"/>
        <v>68</v>
      </c>
      <c r="B72" s="11"/>
      <c r="C72" s="11"/>
      <c r="D72" s="11"/>
      <c r="E72" s="9"/>
      <c r="F72" s="9"/>
      <c r="G72" s="10" t="str">
        <f t="shared" si="1"/>
        <v/>
      </c>
      <c r="H72" s="10" t="str">
        <f t="shared" si="2"/>
        <v/>
      </c>
      <c r="I72" s="11"/>
      <c r="J72" s="11"/>
      <c r="K72" s="2"/>
    </row>
    <row r="73" spans="1:11" ht="18" customHeight="1">
      <c r="A73" s="5">
        <f t="shared" si="0"/>
        <v>69</v>
      </c>
      <c r="B73" s="11"/>
      <c r="C73" s="11"/>
      <c r="D73" s="11"/>
      <c r="E73" s="9"/>
      <c r="F73" s="9"/>
      <c r="G73" s="10" t="str">
        <f t="shared" si="1"/>
        <v/>
      </c>
      <c r="H73" s="10" t="str">
        <f t="shared" si="2"/>
        <v/>
      </c>
      <c r="I73" s="11"/>
      <c r="J73" s="11"/>
      <c r="K73" s="2"/>
    </row>
    <row r="74" spans="1:11" ht="18" customHeight="1">
      <c r="A74" s="5">
        <f t="shared" si="0"/>
        <v>70</v>
      </c>
      <c r="B74" s="11"/>
      <c r="C74" s="11"/>
      <c r="D74" s="11"/>
      <c r="E74" s="9"/>
      <c r="F74" s="9"/>
      <c r="G74" s="10" t="str">
        <f t="shared" si="1"/>
        <v/>
      </c>
      <c r="H74" s="10" t="str">
        <f t="shared" si="2"/>
        <v/>
      </c>
      <c r="I74" s="11"/>
      <c r="J74" s="11"/>
      <c r="K74" s="2"/>
    </row>
    <row r="75" spans="1:11" ht="18" customHeight="1">
      <c r="A75" s="5">
        <f t="shared" si="0"/>
        <v>71</v>
      </c>
      <c r="B75" s="11"/>
      <c r="C75" s="11"/>
      <c r="D75" s="11"/>
      <c r="E75" s="9"/>
      <c r="F75" s="9"/>
      <c r="G75" s="10" t="str">
        <f t="shared" si="1"/>
        <v/>
      </c>
      <c r="H75" s="10" t="str">
        <f t="shared" si="2"/>
        <v/>
      </c>
      <c r="I75" s="11"/>
      <c r="J75" s="11"/>
      <c r="K75" s="2"/>
    </row>
    <row r="76" spans="1:11" ht="18" customHeight="1">
      <c r="A76" s="5">
        <f t="shared" si="0"/>
        <v>72</v>
      </c>
      <c r="B76" s="11"/>
      <c r="C76" s="11"/>
      <c r="D76" s="11"/>
      <c r="E76" s="9"/>
      <c r="F76" s="9"/>
      <c r="G76" s="10" t="str">
        <f t="shared" si="1"/>
        <v/>
      </c>
      <c r="H76" s="10" t="str">
        <f t="shared" si="2"/>
        <v/>
      </c>
      <c r="I76" s="11"/>
      <c r="J76" s="11"/>
      <c r="K76" s="2"/>
    </row>
    <row r="77" spans="1:11" ht="18" customHeight="1">
      <c r="A77" s="5">
        <f t="shared" si="0"/>
        <v>73</v>
      </c>
      <c r="B77" s="11"/>
      <c r="C77" s="11"/>
      <c r="D77" s="11"/>
      <c r="E77" s="9"/>
      <c r="F77" s="9"/>
      <c r="G77" s="10" t="str">
        <f t="shared" si="1"/>
        <v/>
      </c>
      <c r="H77" s="10" t="str">
        <f t="shared" si="2"/>
        <v/>
      </c>
      <c r="I77" s="11"/>
      <c r="J77" s="11"/>
      <c r="K77" s="2"/>
    </row>
    <row r="78" spans="1:11" ht="18" customHeight="1">
      <c r="A78" s="5">
        <f t="shared" si="0"/>
        <v>74</v>
      </c>
      <c r="B78" s="11"/>
      <c r="C78" s="11"/>
      <c r="D78" s="11"/>
      <c r="E78" s="9"/>
      <c r="F78" s="9"/>
      <c r="G78" s="10" t="str">
        <f t="shared" si="1"/>
        <v/>
      </c>
      <c r="H78" s="10" t="str">
        <f t="shared" si="2"/>
        <v/>
      </c>
      <c r="I78" s="11"/>
      <c r="J78" s="11"/>
      <c r="K78" s="2"/>
    </row>
    <row r="79" spans="1:11" ht="18" customHeight="1">
      <c r="A79" s="5">
        <f t="shared" si="0"/>
        <v>75</v>
      </c>
      <c r="B79" s="11"/>
      <c r="C79" s="11"/>
      <c r="D79" s="11"/>
      <c r="E79" s="9"/>
      <c r="F79" s="9"/>
      <c r="G79" s="10" t="str">
        <f t="shared" si="1"/>
        <v/>
      </c>
      <c r="H79" s="10" t="str">
        <f t="shared" si="2"/>
        <v/>
      </c>
      <c r="I79" s="11"/>
      <c r="J79" s="11"/>
      <c r="K79" s="2"/>
    </row>
    <row r="80" spans="1:11" ht="18" customHeight="1">
      <c r="A80" s="5">
        <f t="shared" si="0"/>
        <v>76</v>
      </c>
      <c r="B80" s="11"/>
      <c r="C80" s="11"/>
      <c r="D80" s="11"/>
      <c r="E80" s="9"/>
      <c r="F80" s="9"/>
      <c r="G80" s="10" t="str">
        <f t="shared" si="1"/>
        <v/>
      </c>
      <c r="H80" s="10" t="str">
        <f t="shared" si="2"/>
        <v/>
      </c>
      <c r="I80" s="11"/>
      <c r="J80" s="11"/>
      <c r="K80" s="2"/>
    </row>
    <row r="81" spans="1:11" ht="18" customHeight="1">
      <c r="A81" s="5">
        <f t="shared" si="0"/>
        <v>77</v>
      </c>
      <c r="B81" s="11"/>
      <c r="C81" s="11"/>
      <c r="D81" s="11"/>
      <c r="E81" s="9"/>
      <c r="F81" s="9"/>
      <c r="G81" s="10" t="str">
        <f t="shared" si="1"/>
        <v/>
      </c>
      <c r="H81" s="10" t="str">
        <f t="shared" si="2"/>
        <v/>
      </c>
      <c r="I81" s="11"/>
      <c r="J81" s="11"/>
      <c r="K81" s="2"/>
    </row>
    <row r="82" spans="1:11" ht="18" customHeight="1">
      <c r="A82" s="5">
        <f t="shared" si="0"/>
        <v>78</v>
      </c>
      <c r="B82" s="11"/>
      <c r="C82" s="11"/>
      <c r="D82" s="11"/>
      <c r="E82" s="9"/>
      <c r="F82" s="9"/>
      <c r="G82" s="10" t="str">
        <f t="shared" si="1"/>
        <v/>
      </c>
      <c r="H82" s="10" t="str">
        <f t="shared" si="2"/>
        <v/>
      </c>
      <c r="I82" s="11"/>
      <c r="J82" s="11"/>
      <c r="K82" s="2"/>
    </row>
    <row r="83" spans="1:11" ht="18" customHeight="1">
      <c r="A83" s="5">
        <f t="shared" si="0"/>
        <v>79</v>
      </c>
      <c r="B83" s="11"/>
      <c r="C83" s="11"/>
      <c r="D83" s="11"/>
      <c r="E83" s="9"/>
      <c r="F83" s="9"/>
      <c r="G83" s="10" t="str">
        <f t="shared" si="1"/>
        <v/>
      </c>
      <c r="H83" s="10" t="str">
        <f t="shared" si="2"/>
        <v/>
      </c>
      <c r="I83" s="11"/>
      <c r="J83" s="11"/>
      <c r="K83" s="2"/>
    </row>
    <row r="84" spans="1:11" ht="18" customHeight="1">
      <c r="A84" s="5">
        <f t="shared" si="0"/>
        <v>80</v>
      </c>
      <c r="B84" s="11"/>
      <c r="C84" s="11"/>
      <c r="D84" s="11"/>
      <c r="E84" s="9"/>
      <c r="F84" s="9"/>
      <c r="G84" s="10" t="str">
        <f t="shared" si="1"/>
        <v/>
      </c>
      <c r="H84" s="10" t="str">
        <f t="shared" si="2"/>
        <v/>
      </c>
      <c r="I84" s="11"/>
      <c r="J84" s="11"/>
      <c r="K84" s="2"/>
    </row>
    <row r="85" spans="1:11" ht="18" customHeight="1">
      <c r="A85" s="5">
        <f t="shared" si="0"/>
        <v>81</v>
      </c>
      <c r="B85" s="11"/>
      <c r="C85" s="11"/>
      <c r="D85" s="11"/>
      <c r="E85" s="9"/>
      <c r="F85" s="9"/>
      <c r="G85" s="10" t="str">
        <f t="shared" si="1"/>
        <v/>
      </c>
      <c r="H85" s="10" t="str">
        <f t="shared" si="2"/>
        <v/>
      </c>
      <c r="I85" s="11"/>
      <c r="J85" s="11"/>
      <c r="K85" s="2"/>
    </row>
    <row r="86" spans="1:11" ht="18" customHeight="1">
      <c r="A86" s="5">
        <f t="shared" si="0"/>
        <v>82</v>
      </c>
      <c r="B86" s="11"/>
      <c r="C86" s="11"/>
      <c r="D86" s="11"/>
      <c r="E86" s="9"/>
      <c r="F86" s="9"/>
      <c r="G86" s="10" t="str">
        <f t="shared" si="1"/>
        <v/>
      </c>
      <c r="H86" s="10" t="str">
        <f t="shared" si="2"/>
        <v/>
      </c>
      <c r="I86" s="11"/>
      <c r="J86" s="11"/>
      <c r="K86" s="2"/>
    </row>
    <row r="87" spans="1:11" ht="18" customHeight="1">
      <c r="A87" s="5">
        <f t="shared" si="0"/>
        <v>83</v>
      </c>
      <c r="B87" s="11"/>
      <c r="C87" s="11"/>
      <c r="D87" s="11"/>
      <c r="E87" s="9"/>
      <c r="F87" s="9"/>
      <c r="G87" s="10" t="str">
        <f t="shared" si="1"/>
        <v/>
      </c>
      <c r="H87" s="10" t="str">
        <f t="shared" si="2"/>
        <v/>
      </c>
      <c r="I87" s="11"/>
      <c r="J87" s="11"/>
      <c r="K87" s="2"/>
    </row>
    <row r="88" spans="1:11" ht="18" customHeight="1">
      <c r="A88" s="5">
        <f t="shared" si="0"/>
        <v>84</v>
      </c>
      <c r="B88" s="11"/>
      <c r="C88" s="11"/>
      <c r="D88" s="11"/>
      <c r="E88" s="9"/>
      <c r="F88" s="9"/>
      <c r="G88" s="10" t="str">
        <f t="shared" si="1"/>
        <v/>
      </c>
      <c r="H88" s="10" t="str">
        <f t="shared" si="2"/>
        <v/>
      </c>
      <c r="I88" s="11"/>
      <c r="J88" s="11"/>
      <c r="K88" s="2"/>
    </row>
    <row r="89" spans="1:11" ht="18" customHeight="1">
      <c r="A89" s="5">
        <f t="shared" si="0"/>
        <v>85</v>
      </c>
      <c r="B89" s="11"/>
      <c r="C89" s="11"/>
      <c r="D89" s="11"/>
      <c r="E89" s="9"/>
      <c r="F89" s="9"/>
      <c r="G89" s="10" t="str">
        <f t="shared" si="1"/>
        <v/>
      </c>
      <c r="H89" s="10" t="str">
        <f t="shared" si="2"/>
        <v/>
      </c>
      <c r="I89" s="11"/>
      <c r="J89" s="11"/>
      <c r="K89" s="2"/>
    </row>
    <row r="90" spans="1:11" ht="18" customHeight="1">
      <c r="A90" s="5">
        <f t="shared" si="0"/>
        <v>86</v>
      </c>
      <c r="B90" s="11"/>
      <c r="C90" s="11"/>
      <c r="D90" s="11"/>
      <c r="E90" s="9"/>
      <c r="F90" s="9"/>
      <c r="G90" s="10" t="str">
        <f t="shared" si="1"/>
        <v/>
      </c>
      <c r="H90" s="10" t="str">
        <f t="shared" si="2"/>
        <v/>
      </c>
      <c r="I90" s="11"/>
      <c r="J90" s="11"/>
      <c r="K90" s="2"/>
    </row>
    <row r="91" spans="1:11" ht="18" customHeight="1">
      <c r="A91" s="5">
        <f t="shared" si="0"/>
        <v>87</v>
      </c>
      <c r="B91" s="11"/>
      <c r="C91" s="11"/>
      <c r="D91" s="11"/>
      <c r="E91" s="9"/>
      <c r="F91" s="9"/>
      <c r="G91" s="10" t="str">
        <f t="shared" si="1"/>
        <v/>
      </c>
      <c r="H91" s="10" t="str">
        <f t="shared" si="2"/>
        <v/>
      </c>
      <c r="I91" s="11"/>
      <c r="J91" s="11"/>
      <c r="K91" s="2"/>
    </row>
    <row r="92" spans="1:11" ht="18" customHeight="1">
      <c r="A92" s="5">
        <f t="shared" si="0"/>
        <v>88</v>
      </c>
      <c r="B92" s="11"/>
      <c r="C92" s="11"/>
      <c r="D92" s="11"/>
      <c r="E92" s="9"/>
      <c r="F92" s="9"/>
      <c r="G92" s="10" t="str">
        <f t="shared" si="1"/>
        <v/>
      </c>
      <c r="H92" s="10" t="str">
        <f t="shared" si="2"/>
        <v/>
      </c>
      <c r="I92" s="11"/>
      <c r="J92" s="11"/>
      <c r="K92" s="2"/>
    </row>
    <row r="93" spans="1:11" ht="18" customHeight="1">
      <c r="A93" s="5">
        <f t="shared" si="0"/>
        <v>89</v>
      </c>
      <c r="B93" s="11"/>
      <c r="C93" s="11"/>
      <c r="D93" s="11"/>
      <c r="E93" s="9"/>
      <c r="F93" s="9"/>
      <c r="G93" s="10" t="str">
        <f t="shared" si="1"/>
        <v/>
      </c>
      <c r="H93" s="10" t="str">
        <f t="shared" si="2"/>
        <v/>
      </c>
      <c r="I93" s="11"/>
      <c r="J93" s="11"/>
      <c r="K93" s="2"/>
    </row>
    <row r="94" spans="1:11" ht="18" customHeight="1">
      <c r="A94" s="5">
        <f t="shared" si="0"/>
        <v>90</v>
      </c>
      <c r="B94" s="11"/>
      <c r="C94" s="11"/>
      <c r="D94" s="11"/>
      <c r="E94" s="9"/>
      <c r="F94" s="9"/>
      <c r="G94" s="10" t="str">
        <f t="shared" si="1"/>
        <v/>
      </c>
      <c r="H94" s="10" t="str">
        <f t="shared" si="2"/>
        <v/>
      </c>
      <c r="I94" s="11"/>
      <c r="J94" s="11"/>
      <c r="K94" s="2"/>
    </row>
    <row r="95" spans="1:11" ht="18" customHeight="1">
      <c r="A95" s="5">
        <f t="shared" si="0"/>
        <v>91</v>
      </c>
      <c r="B95" s="11"/>
      <c r="C95" s="11"/>
      <c r="D95" s="11"/>
      <c r="E95" s="9"/>
      <c r="F95" s="9"/>
      <c r="G95" s="10" t="str">
        <f t="shared" si="1"/>
        <v/>
      </c>
      <c r="H95" s="10" t="str">
        <f t="shared" si="2"/>
        <v/>
      </c>
      <c r="I95" s="11"/>
      <c r="J95" s="11"/>
      <c r="K95" s="2"/>
    </row>
    <row r="96" spans="1:11" ht="18" customHeight="1">
      <c r="A96" s="5">
        <f t="shared" si="0"/>
        <v>92</v>
      </c>
      <c r="B96" s="11"/>
      <c r="C96" s="11"/>
      <c r="D96" s="11"/>
      <c r="E96" s="9"/>
      <c r="F96" s="9"/>
      <c r="G96" s="10" t="str">
        <f t="shared" si="1"/>
        <v/>
      </c>
      <c r="H96" s="10" t="str">
        <f t="shared" si="2"/>
        <v/>
      </c>
      <c r="I96" s="11"/>
      <c r="J96" s="11"/>
      <c r="K96" s="2"/>
    </row>
    <row r="97" spans="1:11" ht="18" customHeight="1">
      <c r="A97" s="5">
        <f t="shared" si="0"/>
        <v>93</v>
      </c>
      <c r="B97" s="11"/>
      <c r="C97" s="11"/>
      <c r="D97" s="11"/>
      <c r="E97" s="9"/>
      <c r="F97" s="9"/>
      <c r="G97" s="10" t="str">
        <f t="shared" si="1"/>
        <v/>
      </c>
      <c r="H97" s="10" t="str">
        <f t="shared" si="2"/>
        <v/>
      </c>
      <c r="I97" s="11"/>
      <c r="J97" s="11"/>
      <c r="K97" s="2"/>
    </row>
    <row r="98" spans="1:11" ht="18" customHeight="1">
      <c r="A98" s="5">
        <f t="shared" si="0"/>
        <v>94</v>
      </c>
      <c r="B98" s="11"/>
      <c r="C98" s="11"/>
      <c r="D98" s="11"/>
      <c r="E98" s="9"/>
      <c r="F98" s="9"/>
      <c r="G98" s="10" t="str">
        <f t="shared" si="1"/>
        <v/>
      </c>
      <c r="H98" s="10" t="str">
        <f t="shared" si="2"/>
        <v/>
      </c>
      <c r="I98" s="11"/>
      <c r="J98" s="11"/>
      <c r="K98" s="2"/>
    </row>
    <row r="99" spans="1:11" ht="18" customHeight="1">
      <c r="A99" s="5">
        <f t="shared" si="0"/>
        <v>95</v>
      </c>
      <c r="B99" s="11"/>
      <c r="C99" s="11"/>
      <c r="D99" s="11"/>
      <c r="E99" s="9"/>
      <c r="F99" s="9"/>
      <c r="G99" s="10" t="str">
        <f t="shared" si="1"/>
        <v/>
      </c>
      <c r="H99" s="10" t="str">
        <f t="shared" si="2"/>
        <v/>
      </c>
      <c r="I99" s="11"/>
      <c r="J99" s="11"/>
      <c r="K99" s="2"/>
    </row>
    <row r="100" spans="1:11" ht="18" customHeight="1">
      <c r="A100" s="5">
        <f t="shared" si="0"/>
        <v>96</v>
      </c>
      <c r="B100" s="11"/>
      <c r="C100" s="11"/>
      <c r="D100" s="11"/>
      <c r="E100" s="9"/>
      <c r="F100" s="9"/>
      <c r="G100" s="10" t="str">
        <f t="shared" si="1"/>
        <v/>
      </c>
      <c r="H100" s="10" t="str">
        <f t="shared" si="2"/>
        <v/>
      </c>
      <c r="I100" s="11"/>
      <c r="J100" s="11"/>
      <c r="K100" s="2"/>
    </row>
    <row r="101" spans="1:11" ht="18" customHeight="1">
      <c r="A101" s="5">
        <f t="shared" si="0"/>
        <v>97</v>
      </c>
      <c r="B101" s="11"/>
      <c r="C101" s="11"/>
      <c r="D101" s="11"/>
      <c r="E101" s="9"/>
      <c r="F101" s="9"/>
      <c r="G101" s="10" t="str">
        <f t="shared" si="1"/>
        <v/>
      </c>
      <c r="H101" s="10" t="str">
        <f t="shared" si="2"/>
        <v/>
      </c>
      <c r="I101" s="11"/>
      <c r="J101" s="11"/>
      <c r="K101" s="2"/>
    </row>
    <row r="102" spans="1:11" ht="18" customHeight="1">
      <c r="A102" s="5">
        <f t="shared" si="0"/>
        <v>98</v>
      </c>
      <c r="B102" s="11"/>
      <c r="C102" s="11"/>
      <c r="D102" s="11"/>
      <c r="E102" s="9"/>
      <c r="F102" s="9"/>
      <c r="G102" s="10" t="str">
        <f t="shared" si="1"/>
        <v/>
      </c>
      <c r="H102" s="10" t="str">
        <f t="shared" si="2"/>
        <v/>
      </c>
      <c r="I102" s="11"/>
      <c r="J102" s="11"/>
      <c r="K102" s="2"/>
    </row>
    <row r="103" spans="1:11" ht="18" customHeight="1">
      <c r="A103" s="5">
        <f t="shared" si="0"/>
        <v>99</v>
      </c>
      <c r="B103" s="11"/>
      <c r="C103" s="11"/>
      <c r="D103" s="11"/>
      <c r="E103" s="9"/>
      <c r="F103" s="9"/>
      <c r="G103" s="10" t="str">
        <f t="shared" si="1"/>
        <v/>
      </c>
      <c r="H103" s="10" t="str">
        <f t="shared" si="2"/>
        <v/>
      </c>
      <c r="I103" s="11"/>
      <c r="J103" s="11"/>
      <c r="K103" s="2"/>
    </row>
    <row r="104" spans="1:11" ht="18" customHeight="1">
      <c r="A104" s="5">
        <f t="shared" si="0"/>
        <v>100</v>
      </c>
      <c r="B104" s="11"/>
      <c r="C104" s="11"/>
      <c r="D104" s="11"/>
      <c r="E104" s="9"/>
      <c r="F104" s="9"/>
      <c r="G104" s="10" t="str">
        <f t="shared" si="1"/>
        <v/>
      </c>
      <c r="H104" s="10" t="str">
        <f t="shared" si="2"/>
        <v/>
      </c>
      <c r="I104" s="11"/>
      <c r="J104" s="11"/>
      <c r="K104" s="2"/>
    </row>
    <row r="105" spans="1:11" ht="18" customHeight="1">
      <c r="A105" s="5">
        <f t="shared" si="0"/>
        <v>101</v>
      </c>
      <c r="B105" s="11"/>
      <c r="C105" s="11"/>
      <c r="D105" s="11"/>
      <c r="E105" s="9"/>
      <c r="F105" s="9"/>
      <c r="G105" s="10" t="str">
        <f t="shared" si="1"/>
        <v/>
      </c>
      <c r="H105" s="10" t="str">
        <f t="shared" si="2"/>
        <v/>
      </c>
      <c r="I105" s="11"/>
      <c r="J105" s="11"/>
      <c r="K105" s="2"/>
    </row>
    <row r="106" spans="1:11" ht="18" customHeight="1">
      <c r="A106" s="5">
        <f t="shared" si="0"/>
        <v>102</v>
      </c>
      <c r="B106" s="11"/>
      <c r="C106" s="11"/>
      <c r="D106" s="11"/>
      <c r="E106" s="9"/>
      <c r="F106" s="9"/>
      <c r="G106" s="10" t="str">
        <f t="shared" si="1"/>
        <v/>
      </c>
      <c r="H106" s="10" t="str">
        <f t="shared" si="2"/>
        <v/>
      </c>
      <c r="I106" s="11"/>
      <c r="J106" s="11"/>
      <c r="K106" s="2"/>
    </row>
    <row r="107" spans="1:11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44"/>
  </sheetPr>
  <dimension ref="A1:AI1000"/>
  <sheetViews>
    <sheetView showGridLines="0" tabSelected="1" workbookViewId="0"/>
  </sheetViews>
  <sheetFormatPr defaultColWidth="14.42578125" defaultRowHeight="15" customHeight="1"/>
  <cols>
    <col min="1" max="1" width="4" customWidth="1"/>
    <col min="2" max="2" width="10" customWidth="1"/>
    <col min="3" max="3" width="13" customWidth="1"/>
    <col min="4" max="4" width="16" customWidth="1"/>
    <col min="5" max="5" width="8" customWidth="1"/>
    <col min="6" max="6" width="13" customWidth="1"/>
    <col min="7" max="7" width="14" customWidth="1"/>
    <col min="8" max="8" width="12" customWidth="1"/>
    <col min="9" max="9" width="10" customWidth="1"/>
    <col min="10" max="10" width="12" customWidth="1"/>
    <col min="11" max="11" width="16" customWidth="1"/>
    <col min="12" max="12" width="14" customWidth="1"/>
    <col min="13" max="13" width="13" customWidth="1"/>
    <col min="14" max="17" width="14" customWidth="1"/>
    <col min="18" max="19" width="9" customWidth="1"/>
    <col min="20" max="20" width="13" customWidth="1"/>
    <col min="21" max="21" width="10" customWidth="1"/>
    <col min="22" max="23" width="12" customWidth="1"/>
    <col min="24" max="24" width="16" customWidth="1"/>
    <col min="25" max="25" width="10" customWidth="1"/>
    <col min="26" max="26" width="16" customWidth="1"/>
    <col min="27" max="27" width="10" customWidth="1"/>
    <col min="28" max="28" width="30" customWidth="1"/>
    <col min="29" max="29" width="16" customWidth="1"/>
    <col min="30" max="30" width="14" customWidth="1"/>
    <col min="31" max="31" width="12" customWidth="1"/>
    <col min="32" max="32" width="16" customWidth="1"/>
    <col min="33" max="34" width="14" customWidth="1"/>
    <col min="35" max="35" width="8.7109375" customWidth="1"/>
  </cols>
  <sheetData>
    <row r="1" spans="1:35" ht="21.75" customHeight="1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>
      <c r="A2" s="3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3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30" customHeight="1">
      <c r="A5" s="4" t="s">
        <v>3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4" t="s">
        <v>35</v>
      </c>
      <c r="P5" s="4" t="s">
        <v>36</v>
      </c>
      <c r="Q5" s="4" t="s">
        <v>37</v>
      </c>
      <c r="R5" s="4" t="s">
        <v>38</v>
      </c>
      <c r="S5" s="4" t="s">
        <v>39</v>
      </c>
      <c r="T5" s="4" t="s">
        <v>40</v>
      </c>
      <c r="U5" s="4" t="s">
        <v>41</v>
      </c>
      <c r="V5" s="4" t="s">
        <v>42</v>
      </c>
      <c r="W5" s="4" t="s">
        <v>43</v>
      </c>
      <c r="X5" s="4" t="s">
        <v>44</v>
      </c>
      <c r="Y5" s="4" t="s">
        <v>45</v>
      </c>
      <c r="Z5" s="4" t="s">
        <v>46</v>
      </c>
      <c r="AA5" s="4" t="s">
        <v>47</v>
      </c>
      <c r="AB5" s="4" t="s">
        <v>48</v>
      </c>
      <c r="AC5" s="4" t="s">
        <v>49</v>
      </c>
      <c r="AD5" s="4" t="s">
        <v>50</v>
      </c>
      <c r="AE5" s="4" t="s">
        <v>51</v>
      </c>
      <c r="AF5" s="4" t="s">
        <v>52</v>
      </c>
      <c r="AG5" s="4" t="s">
        <v>53</v>
      </c>
      <c r="AH5" s="4" t="s">
        <v>54</v>
      </c>
      <c r="AI5" s="2"/>
    </row>
    <row r="6" spans="1:35" ht="18" customHeight="1">
      <c r="A6" s="12">
        <f t="shared" ref="A6:A30" si="0">IFERROR(ROW()-5,"")</f>
        <v>1</v>
      </c>
      <c r="B6" s="13" t="s">
        <v>55</v>
      </c>
      <c r="C6" s="13" t="s">
        <v>56</v>
      </c>
      <c r="D6" s="13" t="s">
        <v>57</v>
      </c>
      <c r="E6" s="13" t="s">
        <v>58</v>
      </c>
      <c r="F6" s="14">
        <v>46091</v>
      </c>
      <c r="G6" s="15">
        <v>307.98</v>
      </c>
      <c r="H6" s="16">
        <v>2500000</v>
      </c>
      <c r="I6" s="13">
        <v>20</v>
      </c>
      <c r="J6" s="17">
        <f t="shared" ref="J6:J30" si="1">IFERROR(1/I6,"")</f>
        <v>0.05</v>
      </c>
      <c r="K6" s="18">
        <f t="shared" ref="K6:K30" si="2">IFERROR(G6*H6*I6,"")</f>
        <v>15399000000</v>
      </c>
      <c r="L6" s="18">
        <f t="shared" ref="L6:L30" si="3">IFERROR(G6*H6,"")</f>
        <v>769950000</v>
      </c>
      <c r="M6" s="19">
        <v>0.5</v>
      </c>
      <c r="N6" s="20" t="str">
        <f t="shared" ref="N6:N30" si="4">IFERROR(IF(B6&lt;&gt;"Open","—",IF((G6*H6+Q6)&lt;=0,"LIQUIDATION",IF((G6*H6+Q6)/(G6*H6)&lt;=M6,"WARNING","OK"))),"—")</f>
        <v>—</v>
      </c>
      <c r="O6" s="15">
        <v>305.56</v>
      </c>
      <c r="P6" s="18">
        <f t="shared" ref="P6:P30" si="5">IFERROR((IF(AND(B6="Closed",AD6&lt;&gt;""),AD6,O6))*H6,"")</f>
        <v>763900000</v>
      </c>
      <c r="Q6" s="18">
        <f t="shared" ref="Q6:Q30" si="6">IFERROR(IF(E6="Long",(IF(AND(B6="Closed",AD6&lt;&gt;""),AD6,O6)-G6)*H6*I6,(G6-IF(AND(B6="Closed",AD6&lt;&gt;""),AD6,O6))*H6*I6),"")</f>
        <v>-121000000.0000008</v>
      </c>
      <c r="R6" s="17">
        <f t="shared" ref="R6:R30" si="7">IFERROR(Q6/(G6*H6),"")</f>
        <v>-0.15715306188713657</v>
      </c>
      <c r="S6" s="21">
        <f>IFERROR(L6/(IFERROR(LOOKUP(2,1/('Transaction Log'!H5:H106&lt;&gt;""),'Transaction Log'!H5:H106),0)),"")</f>
        <v>0.37558536585365854</v>
      </c>
      <c r="T6" s="14">
        <v>46094</v>
      </c>
      <c r="U6" s="22">
        <f t="shared" ref="U6:U30" ca="1" si="8">IFERROR(IF(B6="Closed",T6-F6,TODAY()-F6),"")</f>
        <v>3</v>
      </c>
      <c r="V6" s="15">
        <v>305.56</v>
      </c>
      <c r="W6" s="15">
        <v>312.32</v>
      </c>
      <c r="X6" s="18">
        <f t="shared" ref="X6:X30" si="9">IFERROR(IF(OR(V6="",I6=""),"—",IF(E6="Long",(G6-V6)*H6*I6,(V6-G6)*H6*I6)),"—")</f>
        <v>121000000.0000008</v>
      </c>
      <c r="Y6" s="17">
        <f t="shared" ref="Y6:Y30" si="10">IFERROR(IF(OR(V6="",G6=""),"—",IF(E6="Long",(G6-V6)/G6,(V6-G6)/G6)),"—")</f>
        <v>7.8576530943568271E-3</v>
      </c>
      <c r="Z6" s="18">
        <f t="shared" ref="Z6:Z30" si="11">IFERROR(IF(OR(W6="",I6=""),"—",IF(E6="Long",(W6-G6)*H6*I6,(G6-W6)*H6*I6)),"—")</f>
        <v>216999999.99999875</v>
      </c>
      <c r="AA6" s="17">
        <f t="shared" ref="AA6:AA30" si="12">IFERROR(IF(OR(W6="",G6=""),"—",IF(E6="Long",(W6-G6)/G6,(G6-W6)/G6)),"—")</f>
        <v>1.4091824144424881E-2</v>
      </c>
      <c r="AB6" s="23"/>
      <c r="AC6" s="18">
        <f t="shared" ref="AC6:AC30" si="13">IFERROR(IF(E6="Long",(G6-V6)*H6*I6,(V6-G6)*H6*I6),"")</f>
        <v>121000000.0000008</v>
      </c>
      <c r="AD6" s="24">
        <f t="shared" ref="AD6:AD30" si="14">IFERROR(IF(OR(AF6="STOP LOSS HIT",AF6="TAKE PROFIT HIT"),AG6,""),"")</f>
        <v>305.56</v>
      </c>
      <c r="AE6" s="17">
        <f t="shared" ref="AE6:AE30" si="15">IFERROR(IF(E6="Long",(IF(AND(B6="Closed",AD6&lt;&gt;""),AD6,O6)-G6)/G6,(G6-IF(AND(B6="Closed",AD6&lt;&gt;""),AD6,O6))/G6),"")</f>
        <v>-7.8576530943568271E-3</v>
      </c>
      <c r="AF6" s="20" t="str">
        <f t="shared" ref="AF6:AF30" si="16">IFERROR(IF(OR(V6="",W6=""),"No SL/TP",IF(E6="Long",IF(O6&lt;=V6,"STOP LOSS HIT",IF(O6&gt;=W6,"TAKE PROFIT HIT",IF(B6="Closed","CLOSED","Active"))),IF(O6&gt;=V6,"STOP LOSS HIT",IF(O6&lt;=W6,"TAKE PROFIT HIT",IF(B6="Closed","CLOSED","Active"))))),"—")</f>
        <v>STOP LOSS HIT</v>
      </c>
      <c r="AG6" s="24">
        <f t="shared" ref="AG6:AG30" si="17">IFERROR(IF(E6="Long",IF(O6&lt;=V6,V6,IF(O6&gt;=W6,W6,"")),IF(O6&gt;=V6,V6,IF(O6&lt;=W6,W6,""))),"")</f>
        <v>305.56</v>
      </c>
      <c r="AH6" s="24" t="str">
        <f t="shared" ref="AH6:AH30" si="18">IFERROR(IF(B6&lt;&gt;"Open","—",IF(E6="Long",G6*(1-1/I6),G6*(1+1/I6))),"—")</f>
        <v>—</v>
      </c>
      <c r="AI6" s="2"/>
    </row>
    <row r="7" spans="1:35" ht="18" customHeight="1">
      <c r="A7" s="12">
        <f t="shared" si="0"/>
        <v>2</v>
      </c>
      <c r="B7" s="13" t="s">
        <v>55</v>
      </c>
      <c r="C7" s="13" t="s">
        <v>56</v>
      </c>
      <c r="D7" s="13" t="s">
        <v>59</v>
      </c>
      <c r="E7" s="13" t="s">
        <v>58</v>
      </c>
      <c r="F7" s="14">
        <v>46092</v>
      </c>
      <c r="G7" s="15">
        <v>278.52999999999997</v>
      </c>
      <c r="H7" s="16">
        <v>575000</v>
      </c>
      <c r="I7" s="13">
        <v>20</v>
      </c>
      <c r="J7" s="17">
        <f t="shared" si="1"/>
        <v>0.05</v>
      </c>
      <c r="K7" s="18">
        <f t="shared" si="2"/>
        <v>3203094999.9999995</v>
      </c>
      <c r="L7" s="18">
        <f t="shared" si="3"/>
        <v>160154749.99999997</v>
      </c>
      <c r="M7" s="19">
        <v>0.5</v>
      </c>
      <c r="N7" s="20" t="str">
        <f t="shared" si="4"/>
        <v>—</v>
      </c>
      <c r="O7" s="15">
        <v>273.5</v>
      </c>
      <c r="P7" s="18">
        <f t="shared" si="5"/>
        <v>157262500</v>
      </c>
      <c r="Q7" s="18">
        <f t="shared" si="6"/>
        <v>-57844999.999999687</v>
      </c>
      <c r="R7" s="17">
        <f t="shared" si="7"/>
        <v>-0.36118191936236482</v>
      </c>
      <c r="S7" s="21">
        <f>IFERROR(L7/(IFERROR(LOOKUP(2,1/('Transaction Log'!H5:H106&lt;&gt;""),'Transaction Log'!H5:H106),0)),"")</f>
        <v>7.8124268292682916E-2</v>
      </c>
      <c r="T7" s="14">
        <v>46092</v>
      </c>
      <c r="U7" s="22">
        <f t="shared" ca="1" si="8"/>
        <v>0</v>
      </c>
      <c r="V7" s="15">
        <v>273.5</v>
      </c>
      <c r="W7" s="15">
        <v>294.56</v>
      </c>
      <c r="X7" s="18">
        <f t="shared" si="9"/>
        <v>57844999.999999687</v>
      </c>
      <c r="Y7" s="17">
        <f t="shared" si="10"/>
        <v>1.8059095968118239E-2</v>
      </c>
      <c r="Z7" s="18">
        <f t="shared" si="11"/>
        <v>184345000.00000033</v>
      </c>
      <c r="AA7" s="17">
        <f t="shared" si="12"/>
        <v>5.755214878110089E-2</v>
      </c>
      <c r="AB7" s="23"/>
      <c r="AC7" s="18">
        <f t="shared" si="13"/>
        <v>57844999.999999687</v>
      </c>
      <c r="AD7" s="24">
        <f t="shared" si="14"/>
        <v>273.5</v>
      </c>
      <c r="AE7" s="17">
        <f t="shared" si="15"/>
        <v>-1.8059095968118239E-2</v>
      </c>
      <c r="AF7" s="20" t="str">
        <f t="shared" si="16"/>
        <v>STOP LOSS HIT</v>
      </c>
      <c r="AG7" s="24">
        <f t="shared" si="17"/>
        <v>273.5</v>
      </c>
      <c r="AH7" s="24" t="str">
        <f t="shared" si="18"/>
        <v>—</v>
      </c>
      <c r="AI7" s="2"/>
    </row>
    <row r="8" spans="1:35" ht="18" customHeight="1">
      <c r="A8" s="12">
        <f t="shared" si="0"/>
        <v>3</v>
      </c>
      <c r="B8" s="13" t="s">
        <v>55</v>
      </c>
      <c r="C8" s="13" t="s">
        <v>60</v>
      </c>
      <c r="D8" s="13" t="s">
        <v>61</v>
      </c>
      <c r="E8" s="13" t="s">
        <v>62</v>
      </c>
      <c r="F8" s="14">
        <v>46090</v>
      </c>
      <c r="G8" s="15">
        <v>0.77980000000000005</v>
      </c>
      <c r="H8" s="16">
        <v>300000000</v>
      </c>
      <c r="I8" s="13">
        <v>20</v>
      </c>
      <c r="J8" s="17">
        <f t="shared" si="1"/>
        <v>0.05</v>
      </c>
      <c r="K8" s="18">
        <f t="shared" si="2"/>
        <v>4678800000</v>
      </c>
      <c r="L8" s="18">
        <f t="shared" si="3"/>
        <v>233940000</v>
      </c>
      <c r="M8" s="19">
        <v>0.5</v>
      </c>
      <c r="N8" s="20" t="str">
        <f t="shared" si="4"/>
        <v>—</v>
      </c>
      <c r="O8" s="15">
        <v>0.77700000000000002</v>
      </c>
      <c r="P8" s="18">
        <f t="shared" si="5"/>
        <v>233100000</v>
      </c>
      <c r="Q8" s="18">
        <f t="shared" si="6"/>
        <v>16800000.000000149</v>
      </c>
      <c r="R8" s="17">
        <f t="shared" si="7"/>
        <v>7.1813285457810336E-2</v>
      </c>
      <c r="S8" s="21">
        <f>IFERROR(L8/(IFERROR(LOOKUP(2,1/('Transaction Log'!H5:H106&lt;&gt;""),'Transaction Log'!H5:H106),0)),"")</f>
        <v>0.11411707317073171</v>
      </c>
      <c r="T8" s="14">
        <v>46092</v>
      </c>
      <c r="U8" s="22">
        <f t="shared" ca="1" si="8"/>
        <v>2</v>
      </c>
      <c r="V8" s="15">
        <v>0.77700000000000002</v>
      </c>
      <c r="W8" s="15">
        <v>0.77400000000000002</v>
      </c>
      <c r="X8" s="18">
        <f t="shared" si="9"/>
        <v>-16800000.000000149</v>
      </c>
      <c r="Y8" s="17">
        <f t="shared" si="10"/>
        <v>-3.5906642728905161E-3</v>
      </c>
      <c r="Z8" s="18">
        <f t="shared" si="11"/>
        <v>34800000.000000164</v>
      </c>
      <c r="AA8" s="17">
        <f t="shared" si="12"/>
        <v>7.4378045652731817E-3</v>
      </c>
      <c r="AB8" s="13" t="s">
        <v>63</v>
      </c>
      <c r="AC8" s="18">
        <f t="shared" si="13"/>
        <v>-16800000.000000149</v>
      </c>
      <c r="AD8" s="24">
        <f t="shared" si="14"/>
        <v>0.77700000000000002</v>
      </c>
      <c r="AE8" s="17">
        <f t="shared" si="15"/>
        <v>3.5906642728905161E-3</v>
      </c>
      <c r="AF8" s="20" t="str">
        <f t="shared" si="16"/>
        <v>STOP LOSS HIT</v>
      </c>
      <c r="AG8" s="24">
        <f t="shared" si="17"/>
        <v>0.77700000000000002</v>
      </c>
      <c r="AH8" s="24" t="str">
        <f t="shared" si="18"/>
        <v>—</v>
      </c>
      <c r="AI8" s="2"/>
    </row>
    <row r="9" spans="1:35" ht="18" customHeight="1">
      <c r="A9" s="12">
        <f t="shared" si="0"/>
        <v>4</v>
      </c>
      <c r="B9" s="13" t="s">
        <v>55</v>
      </c>
      <c r="C9" s="13" t="s">
        <v>64</v>
      </c>
      <c r="D9" s="13" t="s">
        <v>65</v>
      </c>
      <c r="E9" s="13" t="s">
        <v>58</v>
      </c>
      <c r="F9" s="14">
        <v>46090</v>
      </c>
      <c r="G9" s="15">
        <v>5106.38</v>
      </c>
      <c r="H9" s="16">
        <v>160000</v>
      </c>
      <c r="I9" s="13">
        <v>20</v>
      </c>
      <c r="J9" s="17">
        <f t="shared" si="1"/>
        <v>0.05</v>
      </c>
      <c r="K9" s="18">
        <f t="shared" si="2"/>
        <v>16340416000</v>
      </c>
      <c r="L9" s="18">
        <f t="shared" si="3"/>
        <v>817020800</v>
      </c>
      <c r="M9" s="19">
        <v>0.5</v>
      </c>
      <c r="N9" s="20" t="str">
        <f t="shared" si="4"/>
        <v>—</v>
      </c>
      <c r="O9" s="15">
        <v>5234</v>
      </c>
      <c r="P9" s="18">
        <f t="shared" si="5"/>
        <v>837440000</v>
      </c>
      <c r="Q9" s="18">
        <f t="shared" si="6"/>
        <v>408383999.99999964</v>
      </c>
      <c r="R9" s="17">
        <f t="shared" si="7"/>
        <v>0.49984529157641966</v>
      </c>
      <c r="S9" s="21">
        <f>IFERROR(L9/(IFERROR(LOOKUP(2,1/('Transaction Log'!H5:H106&lt;&gt;""),'Transaction Log'!H5:H106),0)),"")</f>
        <v>0.39854673170731708</v>
      </c>
      <c r="T9" s="14">
        <v>46091</v>
      </c>
      <c r="U9" s="22">
        <f t="shared" ca="1" si="8"/>
        <v>1</v>
      </c>
      <c r="V9" s="15">
        <v>5058</v>
      </c>
      <c r="W9" s="15">
        <v>5234</v>
      </c>
      <c r="X9" s="18">
        <f t="shared" si="9"/>
        <v>154816000.00000036</v>
      </c>
      <c r="Y9" s="17">
        <f t="shared" si="10"/>
        <v>9.4744221934129676E-3</v>
      </c>
      <c r="Z9" s="18">
        <f t="shared" si="11"/>
        <v>408383999.99999964</v>
      </c>
      <c r="AA9" s="17">
        <f t="shared" si="12"/>
        <v>2.4992264578820981E-2</v>
      </c>
      <c r="AB9" s="13" t="s">
        <v>66</v>
      </c>
      <c r="AC9" s="18">
        <f t="shared" si="13"/>
        <v>154816000.00000036</v>
      </c>
      <c r="AD9" s="24">
        <f t="shared" si="14"/>
        <v>5234</v>
      </c>
      <c r="AE9" s="17">
        <f t="shared" si="15"/>
        <v>2.4992264578820981E-2</v>
      </c>
      <c r="AF9" s="20" t="str">
        <f t="shared" si="16"/>
        <v>TAKE PROFIT HIT</v>
      </c>
      <c r="AG9" s="24">
        <f t="shared" si="17"/>
        <v>5234</v>
      </c>
      <c r="AH9" s="24" t="str">
        <f t="shared" si="18"/>
        <v>—</v>
      </c>
      <c r="AI9" s="2"/>
    </row>
    <row r="10" spans="1:35" ht="18" customHeight="1">
      <c r="A10" s="12">
        <f t="shared" si="0"/>
        <v>5</v>
      </c>
      <c r="B10" s="13" t="s">
        <v>55</v>
      </c>
      <c r="C10" s="13" t="s">
        <v>60</v>
      </c>
      <c r="D10" s="13" t="s">
        <v>61</v>
      </c>
      <c r="E10" s="13" t="s">
        <v>62</v>
      </c>
      <c r="F10" s="14">
        <v>46090</v>
      </c>
      <c r="G10" s="15">
        <v>0.77851999999999999</v>
      </c>
      <c r="H10" s="16">
        <v>500000000</v>
      </c>
      <c r="I10" s="13">
        <v>15</v>
      </c>
      <c r="J10" s="17">
        <f t="shared" si="1"/>
        <v>6.6666666666666666E-2</v>
      </c>
      <c r="K10" s="18">
        <f t="shared" si="2"/>
        <v>5838900000</v>
      </c>
      <c r="L10" s="18">
        <f t="shared" si="3"/>
        <v>389260000</v>
      </c>
      <c r="M10" s="19">
        <v>0.5</v>
      </c>
      <c r="N10" s="20" t="str">
        <f t="shared" si="4"/>
        <v>—</v>
      </c>
      <c r="O10" s="15">
        <v>0.77590000000000003</v>
      </c>
      <c r="P10" s="18">
        <f t="shared" si="5"/>
        <v>387950000</v>
      </c>
      <c r="Q10" s="18">
        <f t="shared" si="6"/>
        <v>19649999.999999668</v>
      </c>
      <c r="R10" s="17">
        <f t="shared" si="7"/>
        <v>5.0480398705234721E-2</v>
      </c>
      <c r="S10" s="21">
        <f>IFERROR(L10/(IFERROR(LOOKUP(2,1/('Transaction Log'!H5:H106&lt;&gt;""),'Transaction Log'!H5:H106),0)),"")</f>
        <v>0.1898829268292683</v>
      </c>
      <c r="T10" s="14">
        <v>46091</v>
      </c>
      <c r="U10" s="22">
        <f t="shared" ca="1" si="8"/>
        <v>1</v>
      </c>
      <c r="V10" s="15">
        <v>0.78200000000000003</v>
      </c>
      <c r="W10" s="15">
        <v>0.77590000000000003</v>
      </c>
      <c r="X10" s="18">
        <f t="shared" si="9"/>
        <v>26100000.000000291</v>
      </c>
      <c r="Y10" s="17">
        <f t="shared" si="10"/>
        <v>4.4700200380209101E-3</v>
      </c>
      <c r="Z10" s="18">
        <f t="shared" si="11"/>
        <v>19649999.999999668</v>
      </c>
      <c r="AA10" s="17">
        <f t="shared" si="12"/>
        <v>3.3653599136823148E-3</v>
      </c>
      <c r="AB10" s="13" t="s">
        <v>67</v>
      </c>
      <c r="AC10" s="18">
        <f t="shared" si="13"/>
        <v>26100000.000000291</v>
      </c>
      <c r="AD10" s="24">
        <f t="shared" si="14"/>
        <v>0.77590000000000003</v>
      </c>
      <c r="AE10" s="17">
        <f t="shared" si="15"/>
        <v>3.3653599136823148E-3</v>
      </c>
      <c r="AF10" s="20" t="str">
        <f t="shared" si="16"/>
        <v>TAKE PROFIT HIT</v>
      </c>
      <c r="AG10" s="24">
        <f t="shared" si="17"/>
        <v>0.77590000000000003</v>
      </c>
      <c r="AH10" s="24" t="str">
        <f t="shared" si="18"/>
        <v>—</v>
      </c>
      <c r="AI10" s="2"/>
    </row>
    <row r="11" spans="1:35" ht="18" customHeight="1">
      <c r="A11" s="12">
        <f t="shared" si="0"/>
        <v>6</v>
      </c>
      <c r="B11" s="13" t="s">
        <v>55</v>
      </c>
      <c r="C11" s="13" t="s">
        <v>64</v>
      </c>
      <c r="D11" s="13" t="s">
        <v>65</v>
      </c>
      <c r="E11" s="13" t="s">
        <v>58</v>
      </c>
      <c r="F11" s="14">
        <v>46087</v>
      </c>
      <c r="G11" s="15">
        <v>5078</v>
      </c>
      <c r="H11" s="16">
        <v>140000</v>
      </c>
      <c r="I11" s="13">
        <v>20</v>
      </c>
      <c r="J11" s="17">
        <f t="shared" si="1"/>
        <v>0.05</v>
      </c>
      <c r="K11" s="18">
        <f t="shared" si="2"/>
        <v>14218400000</v>
      </c>
      <c r="L11" s="18">
        <f t="shared" si="3"/>
        <v>710920000</v>
      </c>
      <c r="M11" s="19">
        <v>0.5</v>
      </c>
      <c r="N11" s="20" t="str">
        <f t="shared" si="4"/>
        <v>—</v>
      </c>
      <c r="O11" s="15">
        <v>5172</v>
      </c>
      <c r="P11" s="18">
        <f t="shared" si="5"/>
        <v>724080000</v>
      </c>
      <c r="Q11" s="18">
        <f t="shared" si="6"/>
        <v>263200000</v>
      </c>
      <c r="R11" s="17">
        <f t="shared" si="7"/>
        <v>0.37022449783379285</v>
      </c>
      <c r="S11" s="21">
        <f>IFERROR(L11/(IFERROR(LOOKUP(2,1/('Transaction Log'!H5:H106&lt;&gt;""),'Transaction Log'!H5:H106),0)),"")</f>
        <v>0.34679024390243901</v>
      </c>
      <c r="T11" s="14">
        <v>46087</v>
      </c>
      <c r="U11" s="22">
        <f t="shared" ca="1" si="8"/>
        <v>0</v>
      </c>
      <c r="V11" s="15">
        <v>5050</v>
      </c>
      <c r="W11" s="15">
        <v>5172</v>
      </c>
      <c r="X11" s="18">
        <f t="shared" si="9"/>
        <v>78400000</v>
      </c>
      <c r="Y11" s="17">
        <f t="shared" si="10"/>
        <v>5.5139818826309573E-3</v>
      </c>
      <c r="Z11" s="18">
        <f t="shared" si="11"/>
        <v>263200000</v>
      </c>
      <c r="AA11" s="17">
        <f t="shared" si="12"/>
        <v>1.8511224891689642E-2</v>
      </c>
      <c r="AB11" s="13" t="s">
        <v>68</v>
      </c>
      <c r="AC11" s="18">
        <f t="shared" si="13"/>
        <v>78400000</v>
      </c>
      <c r="AD11" s="24">
        <f t="shared" si="14"/>
        <v>5172</v>
      </c>
      <c r="AE11" s="17">
        <f t="shared" si="15"/>
        <v>1.8511224891689642E-2</v>
      </c>
      <c r="AF11" s="20" t="str">
        <f t="shared" si="16"/>
        <v>TAKE PROFIT HIT</v>
      </c>
      <c r="AG11" s="24">
        <f t="shared" si="17"/>
        <v>5172</v>
      </c>
      <c r="AH11" s="24" t="str">
        <f t="shared" si="18"/>
        <v>—</v>
      </c>
      <c r="AI11" s="2"/>
    </row>
    <row r="12" spans="1:35" ht="18" customHeight="1">
      <c r="A12" s="12">
        <f t="shared" si="0"/>
        <v>7</v>
      </c>
      <c r="B12" s="13" t="s">
        <v>55</v>
      </c>
      <c r="C12" s="13" t="s">
        <v>69</v>
      </c>
      <c r="D12" s="13" t="s">
        <v>70</v>
      </c>
      <c r="E12" s="13" t="s">
        <v>58</v>
      </c>
      <c r="F12" s="14">
        <v>46087</v>
      </c>
      <c r="G12" s="15">
        <v>70509.740000000005</v>
      </c>
      <c r="H12" s="16">
        <v>15000</v>
      </c>
      <c r="I12" s="13">
        <v>20</v>
      </c>
      <c r="J12" s="17">
        <f t="shared" si="1"/>
        <v>0.05</v>
      </c>
      <c r="K12" s="18">
        <f t="shared" si="2"/>
        <v>21152922000.000004</v>
      </c>
      <c r="L12" s="18">
        <f t="shared" si="3"/>
        <v>1057646100.0000001</v>
      </c>
      <c r="M12" s="19">
        <v>0.5</v>
      </c>
      <c r="N12" s="20" t="str">
        <f t="shared" si="4"/>
        <v>—</v>
      </c>
      <c r="O12" s="15">
        <v>71230</v>
      </c>
      <c r="P12" s="18">
        <f t="shared" si="5"/>
        <v>1068450000</v>
      </c>
      <c r="Q12" s="18">
        <f t="shared" si="6"/>
        <v>216077999.99999845</v>
      </c>
      <c r="R12" s="17">
        <f t="shared" si="7"/>
        <v>0.20430085261979261</v>
      </c>
      <c r="S12" s="21">
        <f>IFERROR(L12/(IFERROR(LOOKUP(2,1/('Transaction Log'!H5:H106&lt;&gt;""),'Transaction Log'!H5:H106),0)),"")</f>
        <v>0.51592492682926838</v>
      </c>
      <c r="T12" s="14">
        <v>46087</v>
      </c>
      <c r="U12" s="22">
        <f t="shared" ca="1" si="8"/>
        <v>0</v>
      </c>
      <c r="V12" s="15">
        <v>68950</v>
      </c>
      <c r="W12" s="15">
        <v>71230</v>
      </c>
      <c r="X12" s="18">
        <f t="shared" si="9"/>
        <v>467922000.00000155</v>
      </c>
      <c r="Y12" s="17">
        <f t="shared" si="10"/>
        <v>2.2120915493377299E-2</v>
      </c>
      <c r="Z12" s="18">
        <f t="shared" si="11"/>
        <v>216077999.99999845</v>
      </c>
      <c r="AA12" s="17">
        <f t="shared" si="12"/>
        <v>1.0215042630989629E-2</v>
      </c>
      <c r="AB12" s="13" t="s">
        <v>71</v>
      </c>
      <c r="AC12" s="18">
        <f t="shared" si="13"/>
        <v>467922000.00000155</v>
      </c>
      <c r="AD12" s="24">
        <f t="shared" si="14"/>
        <v>71230</v>
      </c>
      <c r="AE12" s="17">
        <f t="shared" si="15"/>
        <v>1.0215042630989629E-2</v>
      </c>
      <c r="AF12" s="20" t="str">
        <f t="shared" si="16"/>
        <v>TAKE PROFIT HIT</v>
      </c>
      <c r="AG12" s="24">
        <f t="shared" si="17"/>
        <v>71230</v>
      </c>
      <c r="AH12" s="24" t="str">
        <f t="shared" si="18"/>
        <v>—</v>
      </c>
      <c r="AI12" s="2"/>
    </row>
    <row r="13" spans="1:35" ht="18" customHeight="1">
      <c r="A13" s="12">
        <f t="shared" si="0"/>
        <v>8</v>
      </c>
      <c r="B13" s="13" t="s">
        <v>55</v>
      </c>
      <c r="C13" s="13" t="s">
        <v>64</v>
      </c>
      <c r="D13" s="13" t="s">
        <v>72</v>
      </c>
      <c r="E13" s="13" t="s">
        <v>58</v>
      </c>
      <c r="F13" s="14">
        <v>46087</v>
      </c>
      <c r="G13" s="15">
        <v>78.584999999999994</v>
      </c>
      <c r="H13" s="16">
        <v>500000</v>
      </c>
      <c r="I13" s="13">
        <v>10</v>
      </c>
      <c r="J13" s="17">
        <f t="shared" si="1"/>
        <v>0.1</v>
      </c>
      <c r="K13" s="18">
        <f t="shared" si="2"/>
        <v>392925000</v>
      </c>
      <c r="L13" s="18">
        <f t="shared" si="3"/>
        <v>39292500</v>
      </c>
      <c r="M13" s="19">
        <v>0.5</v>
      </c>
      <c r="N13" s="20" t="str">
        <f t="shared" si="4"/>
        <v>—</v>
      </c>
      <c r="O13" s="15">
        <v>86.28</v>
      </c>
      <c r="P13" s="18">
        <f t="shared" si="5"/>
        <v>43140000</v>
      </c>
      <c r="Q13" s="18">
        <f t="shared" si="6"/>
        <v>38475000.000000037</v>
      </c>
      <c r="R13" s="17">
        <f t="shared" si="7"/>
        <v>0.9791945027677047</v>
      </c>
      <c r="S13" s="21">
        <f>IFERROR(L13/(IFERROR(LOOKUP(2,1/('Transaction Log'!H5:H106&lt;&gt;""),'Transaction Log'!H5:H106),0)),"")</f>
        <v>1.9167073170731706E-2</v>
      </c>
      <c r="T13" s="14">
        <v>46087</v>
      </c>
      <c r="U13" s="22">
        <f t="shared" ca="1" si="8"/>
        <v>0</v>
      </c>
      <c r="V13" s="15">
        <v>76.349999999999994</v>
      </c>
      <c r="W13" s="15">
        <v>86.28</v>
      </c>
      <c r="X13" s="18">
        <f t="shared" si="9"/>
        <v>11174999.999999998</v>
      </c>
      <c r="Y13" s="17">
        <f t="shared" si="10"/>
        <v>2.8440542088184764E-2</v>
      </c>
      <c r="Z13" s="18">
        <f t="shared" si="11"/>
        <v>38475000.000000037</v>
      </c>
      <c r="AA13" s="17">
        <f t="shared" si="12"/>
        <v>9.7919450276770473E-2</v>
      </c>
      <c r="AB13" s="13" t="s">
        <v>73</v>
      </c>
      <c r="AC13" s="18">
        <f t="shared" si="13"/>
        <v>11174999.999999998</v>
      </c>
      <c r="AD13" s="24">
        <f t="shared" si="14"/>
        <v>86.28</v>
      </c>
      <c r="AE13" s="17">
        <f t="shared" si="15"/>
        <v>9.7919450276770473E-2</v>
      </c>
      <c r="AF13" s="20" t="str">
        <f t="shared" si="16"/>
        <v>TAKE PROFIT HIT</v>
      </c>
      <c r="AG13" s="24">
        <f t="shared" si="17"/>
        <v>86.28</v>
      </c>
      <c r="AH13" s="24" t="str">
        <f t="shared" si="18"/>
        <v>—</v>
      </c>
      <c r="AI13" s="2"/>
    </row>
    <row r="14" spans="1:35" ht="18" customHeight="1">
      <c r="A14" s="12">
        <f t="shared" si="0"/>
        <v>9</v>
      </c>
      <c r="B14" s="13" t="s">
        <v>55</v>
      </c>
      <c r="C14" s="13" t="s">
        <v>69</v>
      </c>
      <c r="D14" s="13" t="s">
        <v>70</v>
      </c>
      <c r="E14" s="13" t="s">
        <v>62</v>
      </c>
      <c r="F14" s="14">
        <v>46087</v>
      </c>
      <c r="G14" s="15">
        <v>70755.199999999997</v>
      </c>
      <c r="H14" s="16">
        <v>7200</v>
      </c>
      <c r="I14" s="13">
        <v>20</v>
      </c>
      <c r="J14" s="17">
        <f t="shared" si="1"/>
        <v>0.05</v>
      </c>
      <c r="K14" s="18">
        <f t="shared" si="2"/>
        <v>10188748800</v>
      </c>
      <c r="L14" s="18">
        <f t="shared" si="3"/>
        <v>509437440</v>
      </c>
      <c r="M14" s="19">
        <v>0.5</v>
      </c>
      <c r="N14" s="20" t="str">
        <f t="shared" si="4"/>
        <v>—</v>
      </c>
      <c r="O14" s="15">
        <v>69975</v>
      </c>
      <c r="P14" s="18">
        <f t="shared" si="5"/>
        <v>503820000</v>
      </c>
      <c r="Q14" s="18">
        <f t="shared" si="6"/>
        <v>112348799.99999958</v>
      </c>
      <c r="R14" s="17">
        <f t="shared" si="7"/>
        <v>0.22053502781420931</v>
      </c>
      <c r="S14" s="21">
        <f>IFERROR(L14/(IFERROR(LOOKUP(2,1/('Transaction Log'!H5:H106&lt;&gt;""),'Transaction Log'!H5:H106),0)),"")</f>
        <v>0.24850606829268293</v>
      </c>
      <c r="T14" s="14">
        <v>46087</v>
      </c>
      <c r="U14" s="22">
        <f t="shared" ca="1" si="8"/>
        <v>0</v>
      </c>
      <c r="V14" s="15">
        <v>71445</v>
      </c>
      <c r="W14" s="15">
        <v>69975</v>
      </c>
      <c r="X14" s="18">
        <f t="shared" si="9"/>
        <v>99331200.000000417</v>
      </c>
      <c r="Y14" s="17">
        <f t="shared" si="10"/>
        <v>9.7491067794310948E-3</v>
      </c>
      <c r="Z14" s="18">
        <f t="shared" si="11"/>
        <v>112348799.99999958</v>
      </c>
      <c r="AA14" s="17">
        <f t="shared" si="12"/>
        <v>1.1026751390710465E-2</v>
      </c>
      <c r="AB14" s="13" t="s">
        <v>74</v>
      </c>
      <c r="AC14" s="18">
        <f t="shared" si="13"/>
        <v>99331200.000000417</v>
      </c>
      <c r="AD14" s="24">
        <f t="shared" si="14"/>
        <v>69975</v>
      </c>
      <c r="AE14" s="17">
        <f t="shared" si="15"/>
        <v>1.1026751390710465E-2</v>
      </c>
      <c r="AF14" s="20" t="str">
        <f t="shared" si="16"/>
        <v>TAKE PROFIT HIT</v>
      </c>
      <c r="AG14" s="24">
        <f t="shared" si="17"/>
        <v>69975</v>
      </c>
      <c r="AH14" s="24" t="str">
        <f t="shared" si="18"/>
        <v>—</v>
      </c>
      <c r="AI14" s="2"/>
    </row>
    <row r="15" spans="1:35" ht="18" customHeight="1">
      <c r="A15" s="12">
        <f t="shared" si="0"/>
        <v>10</v>
      </c>
      <c r="B15" s="13" t="s">
        <v>55</v>
      </c>
      <c r="C15" s="13" t="s">
        <v>64</v>
      </c>
      <c r="D15" s="13" t="s">
        <v>72</v>
      </c>
      <c r="E15" s="13" t="s">
        <v>58</v>
      </c>
      <c r="F15" s="14">
        <v>46087</v>
      </c>
      <c r="G15" s="15">
        <v>85.43</v>
      </c>
      <c r="H15" s="16">
        <v>15000</v>
      </c>
      <c r="I15" s="13">
        <v>20</v>
      </c>
      <c r="J15" s="17">
        <f t="shared" si="1"/>
        <v>0.05</v>
      </c>
      <c r="K15" s="18">
        <f t="shared" si="2"/>
        <v>25629000</v>
      </c>
      <c r="L15" s="18">
        <f t="shared" si="3"/>
        <v>1281450</v>
      </c>
      <c r="M15" s="19">
        <v>0.5</v>
      </c>
      <c r="N15" s="20" t="str">
        <f t="shared" si="4"/>
        <v>—</v>
      </c>
      <c r="O15" s="15">
        <v>90.16</v>
      </c>
      <c r="P15" s="18">
        <f t="shared" si="5"/>
        <v>1352400</v>
      </c>
      <c r="Q15" s="18">
        <f t="shared" si="6"/>
        <v>1418999.9999999967</v>
      </c>
      <c r="R15" s="17">
        <f t="shared" si="7"/>
        <v>1.1073393421514666</v>
      </c>
      <c r="S15" s="21">
        <f>IFERROR(L15/(IFERROR(LOOKUP(2,1/('Transaction Log'!H5:H106&lt;&gt;""),'Transaction Log'!H5:H106),0)),"")</f>
        <v>6.2509756097560974E-4</v>
      </c>
      <c r="T15" s="14">
        <v>46088</v>
      </c>
      <c r="U15" s="22">
        <f t="shared" ca="1" si="8"/>
        <v>1</v>
      </c>
      <c r="V15" s="15">
        <v>84.78</v>
      </c>
      <c r="W15" s="15">
        <v>90.16</v>
      </c>
      <c r="X15" s="18">
        <f t="shared" si="9"/>
        <v>195000.00000000172</v>
      </c>
      <c r="Y15" s="17">
        <f t="shared" si="10"/>
        <v>7.608568418588384E-3</v>
      </c>
      <c r="Z15" s="18">
        <f t="shared" si="11"/>
        <v>1418999.9999999967</v>
      </c>
      <c r="AA15" s="17">
        <f t="shared" si="12"/>
        <v>5.5366967107573328E-2</v>
      </c>
      <c r="AB15" s="13" t="s">
        <v>75</v>
      </c>
      <c r="AC15" s="18">
        <f t="shared" si="13"/>
        <v>195000.00000000172</v>
      </c>
      <c r="AD15" s="24">
        <f t="shared" si="14"/>
        <v>90.16</v>
      </c>
      <c r="AE15" s="17">
        <f t="shared" si="15"/>
        <v>5.5366967107573328E-2</v>
      </c>
      <c r="AF15" s="20" t="str">
        <f t="shared" si="16"/>
        <v>TAKE PROFIT HIT</v>
      </c>
      <c r="AG15" s="24">
        <f t="shared" si="17"/>
        <v>90.16</v>
      </c>
      <c r="AH15" s="24" t="str">
        <f t="shared" si="18"/>
        <v>—</v>
      </c>
      <c r="AI15" s="2"/>
    </row>
    <row r="16" spans="1:35" ht="18" customHeight="1">
      <c r="A16" s="12">
        <f t="shared" si="0"/>
        <v>11</v>
      </c>
      <c r="B16" s="13" t="s">
        <v>55</v>
      </c>
      <c r="C16" s="13" t="s">
        <v>64</v>
      </c>
      <c r="D16" s="13" t="s">
        <v>72</v>
      </c>
      <c r="E16" s="13" t="s">
        <v>58</v>
      </c>
      <c r="F16" s="14">
        <v>46087</v>
      </c>
      <c r="G16" s="15">
        <v>87.13</v>
      </c>
      <c r="H16" s="16">
        <v>25000</v>
      </c>
      <c r="I16" s="13">
        <v>10</v>
      </c>
      <c r="J16" s="17">
        <f t="shared" si="1"/>
        <v>0.1</v>
      </c>
      <c r="K16" s="18">
        <f t="shared" si="2"/>
        <v>21782500</v>
      </c>
      <c r="L16" s="18">
        <f t="shared" si="3"/>
        <v>2178250</v>
      </c>
      <c r="M16" s="19">
        <v>0.5</v>
      </c>
      <c r="N16" s="20" t="str">
        <f t="shared" si="4"/>
        <v>—</v>
      </c>
      <c r="O16" s="15">
        <v>96.49</v>
      </c>
      <c r="P16" s="18">
        <f t="shared" si="5"/>
        <v>2412250</v>
      </c>
      <c r="Q16" s="18">
        <f t="shared" si="6"/>
        <v>2340000</v>
      </c>
      <c r="R16" s="17">
        <f t="shared" si="7"/>
        <v>1.0742568575691496</v>
      </c>
      <c r="S16" s="21">
        <f>IFERROR(L16/(IFERROR(LOOKUP(2,1/('Transaction Log'!H5:H106&lt;&gt;""),'Transaction Log'!H5:H106),0)),"")</f>
        <v>1.0625609756097561E-3</v>
      </c>
      <c r="T16" s="14">
        <v>46090</v>
      </c>
      <c r="U16" s="22">
        <f t="shared" ca="1" si="8"/>
        <v>3</v>
      </c>
      <c r="V16" s="15">
        <v>84.24</v>
      </c>
      <c r="W16" s="15">
        <v>96.49</v>
      </c>
      <c r="X16" s="18">
        <f t="shared" si="9"/>
        <v>722500.00000000012</v>
      </c>
      <c r="Y16" s="17">
        <f t="shared" si="10"/>
        <v>3.3168828187765419E-2</v>
      </c>
      <c r="Z16" s="18">
        <f t="shared" si="11"/>
        <v>2340000</v>
      </c>
      <c r="AA16" s="17">
        <f t="shared" si="12"/>
        <v>0.10742568575691495</v>
      </c>
      <c r="AB16" s="13" t="s">
        <v>76</v>
      </c>
      <c r="AC16" s="18">
        <f t="shared" si="13"/>
        <v>722500.00000000012</v>
      </c>
      <c r="AD16" s="24">
        <f t="shared" si="14"/>
        <v>96.49</v>
      </c>
      <c r="AE16" s="17">
        <f t="shared" si="15"/>
        <v>0.10742568575691495</v>
      </c>
      <c r="AF16" s="20" t="str">
        <f t="shared" si="16"/>
        <v>TAKE PROFIT HIT</v>
      </c>
      <c r="AG16" s="24">
        <f t="shared" si="17"/>
        <v>96.49</v>
      </c>
      <c r="AH16" s="24" t="str">
        <f t="shared" si="18"/>
        <v>—</v>
      </c>
      <c r="AI16" s="2"/>
    </row>
    <row r="17" spans="1:35" ht="18" customHeight="1">
      <c r="A17" s="12">
        <f t="shared" si="0"/>
        <v>12</v>
      </c>
      <c r="B17" s="13" t="s">
        <v>55</v>
      </c>
      <c r="C17" s="13" t="s">
        <v>77</v>
      </c>
      <c r="D17" s="13" t="s">
        <v>78</v>
      </c>
      <c r="E17" s="13" t="s">
        <v>62</v>
      </c>
      <c r="F17" s="14">
        <v>46087</v>
      </c>
      <c r="G17" s="15">
        <v>22748.986000000001</v>
      </c>
      <c r="H17" s="16">
        <v>18000</v>
      </c>
      <c r="I17" s="13">
        <v>10</v>
      </c>
      <c r="J17" s="17">
        <f t="shared" si="1"/>
        <v>0.1</v>
      </c>
      <c r="K17" s="18">
        <f t="shared" si="2"/>
        <v>4094817480</v>
      </c>
      <c r="L17" s="18">
        <f t="shared" si="3"/>
        <v>409481748</v>
      </c>
      <c r="M17" s="19">
        <v>0.5</v>
      </c>
      <c r="N17" s="20" t="str">
        <f t="shared" si="4"/>
        <v>—</v>
      </c>
      <c r="O17" s="15">
        <v>22387.679</v>
      </c>
      <c r="P17" s="18">
        <f t="shared" si="5"/>
        <v>402978222</v>
      </c>
      <c r="Q17" s="18">
        <f t="shared" si="6"/>
        <v>65035260.000000134</v>
      </c>
      <c r="R17" s="17">
        <f t="shared" si="7"/>
        <v>0.15882334271953957</v>
      </c>
      <c r="S17" s="21">
        <f>IFERROR(L17/(IFERROR(LOOKUP(2,1/('Transaction Log'!H5:H106&lt;&gt;""),'Transaction Log'!H5:H106),0)),"")</f>
        <v>0.19974719414634146</v>
      </c>
      <c r="T17" s="14">
        <v>46090</v>
      </c>
      <c r="U17" s="22">
        <f t="shared" ca="1" si="8"/>
        <v>3</v>
      </c>
      <c r="V17" s="15">
        <v>23258</v>
      </c>
      <c r="W17" s="15">
        <v>22324</v>
      </c>
      <c r="X17" s="18">
        <f t="shared" si="9"/>
        <v>91622519.999999851</v>
      </c>
      <c r="Y17" s="17">
        <f t="shared" si="10"/>
        <v>2.2375239054611015E-2</v>
      </c>
      <c r="Z17" s="18">
        <f t="shared" si="11"/>
        <v>76497480.000000134</v>
      </c>
      <c r="AA17" s="17">
        <f t="shared" si="12"/>
        <v>1.8681535959448953E-2</v>
      </c>
      <c r="AB17" s="13" t="s">
        <v>79</v>
      </c>
      <c r="AC17" s="18">
        <f t="shared" si="13"/>
        <v>91622519.999999851</v>
      </c>
      <c r="AD17" s="24" t="str">
        <f t="shared" si="14"/>
        <v/>
      </c>
      <c r="AE17" s="17">
        <f t="shared" si="15"/>
        <v>1.5882334271953954E-2</v>
      </c>
      <c r="AF17" s="20" t="str">
        <f t="shared" si="16"/>
        <v>CLOSED</v>
      </c>
      <c r="AG17" s="24" t="str">
        <f t="shared" si="17"/>
        <v/>
      </c>
      <c r="AH17" s="24" t="str">
        <f t="shared" si="18"/>
        <v>—</v>
      </c>
      <c r="AI17" s="2"/>
    </row>
    <row r="18" spans="1:35" ht="18" customHeight="1">
      <c r="A18" s="12">
        <f t="shared" si="0"/>
        <v>13</v>
      </c>
      <c r="B18" s="13" t="s">
        <v>55</v>
      </c>
      <c r="C18" s="13" t="s">
        <v>60</v>
      </c>
      <c r="D18" s="13" t="s">
        <v>61</v>
      </c>
      <c r="E18" s="13" t="s">
        <v>62</v>
      </c>
      <c r="F18" s="14">
        <v>46087</v>
      </c>
      <c r="G18" s="15">
        <v>0.78169999999999995</v>
      </c>
      <c r="H18" s="16">
        <v>400000000</v>
      </c>
      <c r="I18" s="13">
        <v>10</v>
      </c>
      <c r="J18" s="17">
        <f t="shared" si="1"/>
        <v>0.1</v>
      </c>
      <c r="K18" s="18">
        <f t="shared" si="2"/>
        <v>3126800000</v>
      </c>
      <c r="L18" s="18">
        <f t="shared" si="3"/>
        <v>312680000</v>
      </c>
      <c r="M18" s="19">
        <v>0.5</v>
      </c>
      <c r="N18" s="20" t="str">
        <f t="shared" si="4"/>
        <v>—</v>
      </c>
      <c r="O18" s="15">
        <v>0.77600000000000002</v>
      </c>
      <c r="P18" s="18">
        <f t="shared" si="5"/>
        <v>310400000</v>
      </c>
      <c r="Q18" s="18">
        <f t="shared" si="6"/>
        <v>22799999.999999709</v>
      </c>
      <c r="R18" s="17">
        <f t="shared" si="7"/>
        <v>7.2917999232441189E-2</v>
      </c>
      <c r="S18" s="21">
        <f>IFERROR(L18/(IFERROR(LOOKUP(2,1/('Transaction Log'!H5:H106&lt;&gt;""),'Transaction Log'!H5:H106),0)),"")</f>
        <v>0.1525268292682927</v>
      </c>
      <c r="T18" s="14">
        <v>46087</v>
      </c>
      <c r="U18" s="22">
        <f t="shared" ca="1" si="8"/>
        <v>0</v>
      </c>
      <c r="V18" s="15">
        <v>0.78580000000000005</v>
      </c>
      <c r="W18" s="15">
        <v>0.77600000000000002</v>
      </c>
      <c r="X18" s="18">
        <f t="shared" si="9"/>
        <v>16400000.000000414</v>
      </c>
      <c r="Y18" s="17">
        <f t="shared" si="10"/>
        <v>5.24497889215825E-3</v>
      </c>
      <c r="Z18" s="18">
        <f t="shared" si="11"/>
        <v>22799999.999999709</v>
      </c>
      <c r="AA18" s="17">
        <f t="shared" si="12"/>
        <v>7.291799923244119E-3</v>
      </c>
      <c r="AB18" s="13" t="s">
        <v>80</v>
      </c>
      <c r="AC18" s="18">
        <f t="shared" si="13"/>
        <v>16400000.000000414</v>
      </c>
      <c r="AD18" s="24">
        <f t="shared" si="14"/>
        <v>0.77600000000000002</v>
      </c>
      <c r="AE18" s="17">
        <f t="shared" si="15"/>
        <v>7.291799923244119E-3</v>
      </c>
      <c r="AF18" s="20" t="str">
        <f t="shared" si="16"/>
        <v>TAKE PROFIT HIT</v>
      </c>
      <c r="AG18" s="24">
        <f t="shared" si="17"/>
        <v>0.77600000000000002</v>
      </c>
      <c r="AH18" s="24" t="str">
        <f t="shared" si="18"/>
        <v>—</v>
      </c>
      <c r="AI18" s="2"/>
    </row>
    <row r="19" spans="1:35" ht="18" customHeight="1">
      <c r="A19" s="12">
        <f t="shared" si="0"/>
        <v>14</v>
      </c>
      <c r="B19" s="13" t="s">
        <v>55</v>
      </c>
      <c r="C19" s="13" t="s">
        <v>56</v>
      </c>
      <c r="D19" s="13" t="s">
        <v>81</v>
      </c>
      <c r="E19" s="13" t="s">
        <v>58</v>
      </c>
      <c r="F19" s="14">
        <v>46086</v>
      </c>
      <c r="G19" s="15">
        <v>212.41499999999999</v>
      </c>
      <c r="H19" s="16">
        <v>1500000</v>
      </c>
      <c r="I19" s="13">
        <v>10</v>
      </c>
      <c r="J19" s="17">
        <f t="shared" si="1"/>
        <v>0.1</v>
      </c>
      <c r="K19" s="18">
        <f t="shared" si="2"/>
        <v>3186225000</v>
      </c>
      <c r="L19" s="18">
        <f t="shared" si="3"/>
        <v>318622500</v>
      </c>
      <c r="M19" s="19">
        <v>0.5</v>
      </c>
      <c r="N19" s="20" t="str">
        <f t="shared" si="4"/>
        <v>—</v>
      </c>
      <c r="O19" s="15">
        <v>214.5</v>
      </c>
      <c r="P19" s="18">
        <f t="shared" si="5"/>
        <v>321750000</v>
      </c>
      <c r="Q19" s="18">
        <f t="shared" si="6"/>
        <v>31275000.000000119</v>
      </c>
      <c r="R19" s="17">
        <f t="shared" si="7"/>
        <v>9.8156909822753005E-2</v>
      </c>
      <c r="S19" s="21">
        <f>IFERROR(L19/(IFERROR(LOOKUP(2,1/('Transaction Log'!H5:H106&lt;&gt;""),'Transaction Log'!H5:H106),0)),"")</f>
        <v>0.15542560975609757</v>
      </c>
      <c r="T19" s="14">
        <v>46091</v>
      </c>
      <c r="U19" s="22">
        <f t="shared" ca="1" si="8"/>
        <v>5</v>
      </c>
      <c r="V19" s="15">
        <v>208</v>
      </c>
      <c r="W19" s="15">
        <v>214.5</v>
      </c>
      <c r="X19" s="18">
        <f t="shared" si="9"/>
        <v>66224999.999999881</v>
      </c>
      <c r="Y19" s="17">
        <f t="shared" si="10"/>
        <v>2.0784784502036073E-2</v>
      </c>
      <c r="Z19" s="18">
        <f t="shared" si="11"/>
        <v>31275000.000000119</v>
      </c>
      <c r="AA19" s="17">
        <f t="shared" si="12"/>
        <v>9.8156909822753012E-3</v>
      </c>
      <c r="AB19" s="13" t="s">
        <v>82</v>
      </c>
      <c r="AC19" s="18">
        <f t="shared" si="13"/>
        <v>66224999.999999881</v>
      </c>
      <c r="AD19" s="24">
        <f t="shared" si="14"/>
        <v>214.5</v>
      </c>
      <c r="AE19" s="17">
        <f t="shared" si="15"/>
        <v>9.8156909822753012E-3</v>
      </c>
      <c r="AF19" s="20" t="str">
        <f t="shared" si="16"/>
        <v>TAKE PROFIT HIT</v>
      </c>
      <c r="AG19" s="24">
        <f t="shared" si="17"/>
        <v>214.5</v>
      </c>
      <c r="AH19" s="24" t="str">
        <f t="shared" si="18"/>
        <v>—</v>
      </c>
      <c r="AI19" s="2"/>
    </row>
    <row r="20" spans="1:35" ht="18" customHeight="1">
      <c r="A20" s="12">
        <f t="shared" si="0"/>
        <v>15</v>
      </c>
      <c r="B20" s="13" t="s">
        <v>55</v>
      </c>
      <c r="C20" s="13" t="s">
        <v>69</v>
      </c>
      <c r="D20" s="13" t="s">
        <v>70</v>
      </c>
      <c r="E20" s="13" t="s">
        <v>62</v>
      </c>
      <c r="F20" s="14">
        <v>46086</v>
      </c>
      <c r="G20" s="15">
        <v>72775.14</v>
      </c>
      <c r="H20" s="16">
        <v>8000</v>
      </c>
      <c r="I20" s="13">
        <v>10</v>
      </c>
      <c r="J20" s="17">
        <f t="shared" si="1"/>
        <v>0.1</v>
      </c>
      <c r="K20" s="18">
        <f t="shared" si="2"/>
        <v>5822011200</v>
      </c>
      <c r="L20" s="18">
        <f t="shared" si="3"/>
        <v>582201120</v>
      </c>
      <c r="M20" s="19">
        <v>0.5</v>
      </c>
      <c r="N20" s="20" t="str">
        <f t="shared" si="4"/>
        <v>—</v>
      </c>
      <c r="O20" s="15">
        <v>72150</v>
      </c>
      <c r="P20" s="18">
        <f t="shared" si="5"/>
        <v>577200000</v>
      </c>
      <c r="Q20" s="18">
        <f t="shared" si="6"/>
        <v>50011199.999999955</v>
      </c>
      <c r="R20" s="17">
        <f t="shared" si="7"/>
        <v>8.5900212627553776E-2</v>
      </c>
      <c r="S20" s="21">
        <f>IFERROR(L20/(IFERROR(LOOKUP(2,1/('Transaction Log'!H5:H106&lt;&gt;""),'Transaction Log'!H5:H106),0)),"")</f>
        <v>0.28400054634146343</v>
      </c>
      <c r="T20" s="14">
        <v>46086</v>
      </c>
      <c r="U20" s="22">
        <f t="shared" ca="1" si="8"/>
        <v>0</v>
      </c>
      <c r="V20" s="15">
        <v>75240</v>
      </c>
      <c r="W20" s="15">
        <v>72150</v>
      </c>
      <c r="X20" s="18">
        <f t="shared" si="9"/>
        <v>197188800.00000003</v>
      </c>
      <c r="Y20" s="17">
        <f t="shared" si="10"/>
        <v>3.3869532920170274E-2</v>
      </c>
      <c r="Z20" s="18">
        <f t="shared" si="11"/>
        <v>50011199.999999955</v>
      </c>
      <c r="AA20" s="17">
        <f t="shared" si="12"/>
        <v>8.590021262755378E-3</v>
      </c>
      <c r="AB20" s="13" t="s">
        <v>83</v>
      </c>
      <c r="AC20" s="18">
        <f t="shared" si="13"/>
        <v>197188800.00000003</v>
      </c>
      <c r="AD20" s="24">
        <f t="shared" si="14"/>
        <v>72150</v>
      </c>
      <c r="AE20" s="17">
        <f t="shared" si="15"/>
        <v>8.590021262755378E-3</v>
      </c>
      <c r="AF20" s="20" t="str">
        <f t="shared" si="16"/>
        <v>TAKE PROFIT HIT</v>
      </c>
      <c r="AG20" s="24">
        <f t="shared" si="17"/>
        <v>72150</v>
      </c>
      <c r="AH20" s="24" t="str">
        <f t="shared" si="18"/>
        <v>—</v>
      </c>
      <c r="AI20" s="2"/>
    </row>
    <row r="21" spans="1:35" ht="18" customHeight="1">
      <c r="A21" s="12">
        <f t="shared" si="0"/>
        <v>16</v>
      </c>
      <c r="B21" s="13" t="s">
        <v>55</v>
      </c>
      <c r="C21" s="13" t="s">
        <v>56</v>
      </c>
      <c r="D21" s="13" t="s">
        <v>84</v>
      </c>
      <c r="E21" s="13" t="s">
        <v>62</v>
      </c>
      <c r="F21" s="14">
        <v>46086</v>
      </c>
      <c r="G21" s="15">
        <v>98.875</v>
      </c>
      <c r="H21" s="16">
        <v>6000000</v>
      </c>
      <c r="I21" s="13">
        <v>10</v>
      </c>
      <c r="J21" s="17">
        <f t="shared" si="1"/>
        <v>0.1</v>
      </c>
      <c r="K21" s="18">
        <f t="shared" si="2"/>
        <v>5932500000</v>
      </c>
      <c r="L21" s="18">
        <f t="shared" si="3"/>
        <v>593250000</v>
      </c>
      <c r="M21" s="19">
        <v>0.5</v>
      </c>
      <c r="N21" s="20" t="str">
        <f t="shared" si="4"/>
        <v>—</v>
      </c>
      <c r="O21" s="15">
        <v>98.1</v>
      </c>
      <c r="P21" s="18">
        <f t="shared" si="5"/>
        <v>588600000</v>
      </c>
      <c r="Q21" s="18">
        <f t="shared" si="6"/>
        <v>46500000.000000343</v>
      </c>
      <c r="R21" s="17">
        <f t="shared" si="7"/>
        <v>7.8381795195955062E-2</v>
      </c>
      <c r="S21" s="21">
        <f>IFERROR(L21/(IFERROR(LOOKUP(2,1/('Transaction Log'!H5:H106&lt;&gt;""),'Transaction Log'!H5:H106),0)),"")</f>
        <v>0.289390243902439</v>
      </c>
      <c r="T21" s="14">
        <v>46086</v>
      </c>
      <c r="U21" s="22">
        <f t="shared" ca="1" si="8"/>
        <v>0</v>
      </c>
      <c r="V21" s="15">
        <v>99.43</v>
      </c>
      <c r="W21" s="15">
        <v>97.85</v>
      </c>
      <c r="X21" s="18">
        <f t="shared" si="9"/>
        <v>33300000.00000041</v>
      </c>
      <c r="Y21" s="17">
        <f t="shared" si="10"/>
        <v>5.6131479140329385E-3</v>
      </c>
      <c r="Z21" s="18">
        <f t="shared" si="11"/>
        <v>61500000.000000343</v>
      </c>
      <c r="AA21" s="17">
        <f t="shared" si="12"/>
        <v>1.0366624525916619E-2</v>
      </c>
      <c r="AB21" s="13" t="s">
        <v>85</v>
      </c>
      <c r="AC21" s="18">
        <f t="shared" si="13"/>
        <v>33300000.00000041</v>
      </c>
      <c r="AD21" s="24" t="str">
        <f t="shared" si="14"/>
        <v/>
      </c>
      <c r="AE21" s="17">
        <f t="shared" si="15"/>
        <v>7.8381795195955062E-3</v>
      </c>
      <c r="AF21" s="20" t="str">
        <f t="shared" si="16"/>
        <v>CLOSED</v>
      </c>
      <c r="AG21" s="24" t="str">
        <f t="shared" si="17"/>
        <v/>
      </c>
      <c r="AH21" s="24" t="str">
        <f t="shared" si="18"/>
        <v>—</v>
      </c>
      <c r="AI21" s="2"/>
    </row>
    <row r="22" spans="1:35" ht="18" customHeight="1">
      <c r="A22" s="12">
        <f t="shared" si="0"/>
        <v>17</v>
      </c>
      <c r="B22" s="13" t="s">
        <v>55</v>
      </c>
      <c r="C22" s="13" t="s">
        <v>77</v>
      </c>
      <c r="D22" s="13" t="s">
        <v>86</v>
      </c>
      <c r="E22" s="13" t="s">
        <v>62</v>
      </c>
      <c r="F22" s="14">
        <v>46086</v>
      </c>
      <c r="G22" s="15">
        <v>6869.5</v>
      </c>
      <c r="H22" s="16">
        <v>25000</v>
      </c>
      <c r="I22" s="13">
        <v>10</v>
      </c>
      <c r="J22" s="17">
        <f t="shared" si="1"/>
        <v>0.1</v>
      </c>
      <c r="K22" s="18">
        <f t="shared" si="2"/>
        <v>1717375000</v>
      </c>
      <c r="L22" s="18">
        <f t="shared" si="3"/>
        <v>171737500</v>
      </c>
      <c r="M22" s="19">
        <v>0.5</v>
      </c>
      <c r="N22" s="20" t="str">
        <f t="shared" si="4"/>
        <v>—</v>
      </c>
      <c r="O22" s="15">
        <v>6835</v>
      </c>
      <c r="P22" s="18">
        <f t="shared" si="5"/>
        <v>170875000</v>
      </c>
      <c r="Q22" s="18">
        <f t="shared" si="6"/>
        <v>8625000</v>
      </c>
      <c r="R22" s="17">
        <f t="shared" si="7"/>
        <v>5.0221995778440935E-2</v>
      </c>
      <c r="S22" s="21">
        <f>IFERROR(L22/(IFERROR(LOOKUP(2,1/('Transaction Log'!H5:H106&lt;&gt;""),'Transaction Log'!H5:H106),0)),"")</f>
        <v>8.3774390243902444E-2</v>
      </c>
      <c r="T22" s="14">
        <v>46086</v>
      </c>
      <c r="U22" s="22">
        <f t="shared" ca="1" si="8"/>
        <v>0</v>
      </c>
      <c r="V22" s="15">
        <v>6969</v>
      </c>
      <c r="W22" s="15">
        <v>6835</v>
      </c>
      <c r="X22" s="18">
        <f t="shared" si="9"/>
        <v>24875000</v>
      </c>
      <c r="Y22" s="17">
        <f t="shared" si="10"/>
        <v>1.4484314724506878E-2</v>
      </c>
      <c r="Z22" s="18">
        <f t="shared" si="11"/>
        <v>8625000</v>
      </c>
      <c r="AA22" s="17">
        <f t="shared" si="12"/>
        <v>5.0221995778440935E-3</v>
      </c>
      <c r="AB22" s="13" t="s">
        <v>87</v>
      </c>
      <c r="AC22" s="18">
        <f t="shared" si="13"/>
        <v>24875000</v>
      </c>
      <c r="AD22" s="24">
        <f t="shared" si="14"/>
        <v>6835</v>
      </c>
      <c r="AE22" s="17">
        <f t="shared" si="15"/>
        <v>5.0221995778440935E-3</v>
      </c>
      <c r="AF22" s="20" t="str">
        <f t="shared" si="16"/>
        <v>TAKE PROFIT HIT</v>
      </c>
      <c r="AG22" s="24">
        <f t="shared" si="17"/>
        <v>6835</v>
      </c>
      <c r="AH22" s="24" t="str">
        <f t="shared" si="18"/>
        <v>—</v>
      </c>
      <c r="AI22" s="2"/>
    </row>
    <row r="23" spans="1:35" ht="18" customHeight="1">
      <c r="A23" s="12">
        <f t="shared" si="0"/>
        <v>18</v>
      </c>
      <c r="B23" s="13" t="s">
        <v>55</v>
      </c>
      <c r="C23" s="13" t="s">
        <v>64</v>
      </c>
      <c r="D23" s="13" t="s">
        <v>72</v>
      </c>
      <c r="E23" s="13" t="s">
        <v>58</v>
      </c>
      <c r="F23" s="14">
        <v>46086</v>
      </c>
      <c r="G23" s="15">
        <v>78.78</v>
      </c>
      <c r="H23" s="16">
        <v>750000</v>
      </c>
      <c r="I23" s="13">
        <v>20</v>
      </c>
      <c r="J23" s="17">
        <f t="shared" si="1"/>
        <v>0.05</v>
      </c>
      <c r="K23" s="18">
        <f t="shared" si="2"/>
        <v>1181700000</v>
      </c>
      <c r="L23" s="18">
        <f t="shared" si="3"/>
        <v>59085000</v>
      </c>
      <c r="M23" s="19">
        <v>0.5</v>
      </c>
      <c r="N23" s="20" t="str">
        <f t="shared" si="4"/>
        <v>—</v>
      </c>
      <c r="O23" s="15">
        <v>79.2</v>
      </c>
      <c r="P23" s="18">
        <f t="shared" si="5"/>
        <v>59400000</v>
      </c>
      <c r="Q23" s="18">
        <f t="shared" si="6"/>
        <v>6300000.0000000261</v>
      </c>
      <c r="R23" s="17">
        <f t="shared" si="7"/>
        <v>0.10662604722010707</v>
      </c>
      <c r="S23" s="21">
        <f>IFERROR(L23/(IFERROR(LOOKUP(2,1/('Transaction Log'!H5:H106&lt;&gt;""),'Transaction Log'!H5:H106),0)),"")</f>
        <v>2.8821951219512195E-2</v>
      </c>
      <c r="T23" s="14">
        <v>46086</v>
      </c>
      <c r="U23" s="22">
        <f t="shared" ca="1" si="8"/>
        <v>0</v>
      </c>
      <c r="V23" s="15">
        <v>77.900000000000006</v>
      </c>
      <c r="W23" s="15">
        <v>79.2</v>
      </c>
      <c r="X23" s="18">
        <f t="shared" si="9"/>
        <v>13199999.999999933</v>
      </c>
      <c r="Y23" s="17">
        <f t="shared" si="10"/>
        <v>1.1170347804011112E-2</v>
      </c>
      <c r="Z23" s="18">
        <f t="shared" si="11"/>
        <v>6300000.0000000261</v>
      </c>
      <c r="AA23" s="17">
        <f t="shared" si="12"/>
        <v>5.3313023610053528E-3</v>
      </c>
      <c r="AB23" s="13" t="s">
        <v>88</v>
      </c>
      <c r="AC23" s="18">
        <f t="shared" si="13"/>
        <v>13199999.999999933</v>
      </c>
      <c r="AD23" s="24">
        <f t="shared" si="14"/>
        <v>79.2</v>
      </c>
      <c r="AE23" s="17">
        <f t="shared" si="15"/>
        <v>5.3313023610053528E-3</v>
      </c>
      <c r="AF23" s="20" t="str">
        <f t="shared" si="16"/>
        <v>TAKE PROFIT HIT</v>
      </c>
      <c r="AG23" s="24">
        <f t="shared" si="17"/>
        <v>79.2</v>
      </c>
      <c r="AH23" s="24" t="str">
        <f t="shared" si="18"/>
        <v>—</v>
      </c>
      <c r="AI23" s="2"/>
    </row>
    <row r="24" spans="1:35" ht="18" customHeight="1">
      <c r="A24" s="12">
        <f t="shared" si="0"/>
        <v>19</v>
      </c>
      <c r="B24" s="13" t="s">
        <v>55</v>
      </c>
      <c r="C24" s="13" t="s">
        <v>60</v>
      </c>
      <c r="D24" s="13" t="s">
        <v>89</v>
      </c>
      <c r="E24" s="13" t="s">
        <v>62</v>
      </c>
      <c r="F24" s="14">
        <v>46085</v>
      </c>
      <c r="G24" s="15">
        <v>157</v>
      </c>
      <c r="H24" s="16">
        <v>800000</v>
      </c>
      <c r="I24" s="13">
        <v>20</v>
      </c>
      <c r="J24" s="17">
        <f t="shared" si="1"/>
        <v>0.05</v>
      </c>
      <c r="K24" s="18">
        <f t="shared" si="2"/>
        <v>2512000000</v>
      </c>
      <c r="L24" s="18">
        <f t="shared" si="3"/>
        <v>125600000</v>
      </c>
      <c r="M24" s="19">
        <v>0.5</v>
      </c>
      <c r="N24" s="20" t="str">
        <f t="shared" si="4"/>
        <v>—</v>
      </c>
      <c r="O24" s="15">
        <v>156.72</v>
      </c>
      <c r="P24" s="18">
        <f t="shared" si="5"/>
        <v>125376000</v>
      </c>
      <c r="Q24" s="18">
        <f t="shared" si="6"/>
        <v>4480000.0000000177</v>
      </c>
      <c r="R24" s="17">
        <f t="shared" si="7"/>
        <v>3.5668789808917335E-2</v>
      </c>
      <c r="S24" s="21">
        <f>IFERROR(L24/(IFERROR(LOOKUP(2,1/('Transaction Log'!H5:H106&lt;&gt;""),'Transaction Log'!H5:H106),0)),"")</f>
        <v>6.1268292682926828E-2</v>
      </c>
      <c r="T24" s="14">
        <v>46086</v>
      </c>
      <c r="U24" s="22">
        <f t="shared" ca="1" si="8"/>
        <v>1</v>
      </c>
      <c r="V24" s="15">
        <v>158.69999999999999</v>
      </c>
      <c r="W24" s="15">
        <v>156.72</v>
      </c>
      <c r="X24" s="18">
        <f t="shared" si="9"/>
        <v>27199999.999999817</v>
      </c>
      <c r="Y24" s="17">
        <f t="shared" si="10"/>
        <v>1.0828025477706935E-2</v>
      </c>
      <c r="Z24" s="18">
        <f t="shared" si="11"/>
        <v>4480000.0000000177</v>
      </c>
      <c r="AA24" s="17">
        <f t="shared" si="12"/>
        <v>1.783439490445867E-3</v>
      </c>
      <c r="AB24" s="13" t="s">
        <v>90</v>
      </c>
      <c r="AC24" s="18">
        <f t="shared" si="13"/>
        <v>27199999.999999817</v>
      </c>
      <c r="AD24" s="24">
        <f t="shared" si="14"/>
        <v>156.72</v>
      </c>
      <c r="AE24" s="17">
        <f t="shared" si="15"/>
        <v>1.783439490445867E-3</v>
      </c>
      <c r="AF24" s="20" t="str">
        <f t="shared" si="16"/>
        <v>TAKE PROFIT HIT</v>
      </c>
      <c r="AG24" s="24">
        <f t="shared" si="17"/>
        <v>156.72</v>
      </c>
      <c r="AH24" s="24" t="str">
        <f t="shared" si="18"/>
        <v>—</v>
      </c>
      <c r="AI24" s="2"/>
    </row>
    <row r="25" spans="1:35" ht="18" customHeight="1">
      <c r="A25" s="12">
        <f t="shared" si="0"/>
        <v>20</v>
      </c>
      <c r="B25" s="13" t="s">
        <v>55</v>
      </c>
      <c r="C25" s="13" t="s">
        <v>69</v>
      </c>
      <c r="D25" s="13" t="s">
        <v>70</v>
      </c>
      <c r="E25" s="13" t="s">
        <v>62</v>
      </c>
      <c r="F25" s="14">
        <v>46085</v>
      </c>
      <c r="G25" s="15">
        <v>73988</v>
      </c>
      <c r="H25" s="16">
        <v>1000</v>
      </c>
      <c r="I25" s="13">
        <v>5</v>
      </c>
      <c r="J25" s="17">
        <f t="shared" si="1"/>
        <v>0.2</v>
      </c>
      <c r="K25" s="18">
        <f t="shared" si="2"/>
        <v>369940000</v>
      </c>
      <c r="L25" s="18">
        <f t="shared" si="3"/>
        <v>73988000</v>
      </c>
      <c r="M25" s="19">
        <v>0.5</v>
      </c>
      <c r="N25" s="20" t="str">
        <f t="shared" si="4"/>
        <v>—</v>
      </c>
      <c r="O25" s="15">
        <v>73370.539999999994</v>
      </c>
      <c r="P25" s="18">
        <f t="shared" si="5"/>
        <v>73370540</v>
      </c>
      <c r="Q25" s="18">
        <f t="shared" si="6"/>
        <v>3087300.0000000321</v>
      </c>
      <c r="R25" s="17">
        <f t="shared" si="7"/>
        <v>4.1727036816781533E-2</v>
      </c>
      <c r="S25" s="21">
        <f>IFERROR(L25/(IFERROR(LOOKUP(2,1/('Transaction Log'!H5:H106&lt;&gt;""),'Transaction Log'!H5:H106),0)),"")</f>
        <v>3.6091707317073174E-2</v>
      </c>
      <c r="T25" s="14">
        <v>46085</v>
      </c>
      <c r="U25" s="22">
        <f t="shared" ca="1" si="8"/>
        <v>0</v>
      </c>
      <c r="V25" s="15">
        <v>74250</v>
      </c>
      <c r="W25" s="15">
        <v>72560</v>
      </c>
      <c r="X25" s="18">
        <f t="shared" si="9"/>
        <v>1310000</v>
      </c>
      <c r="Y25" s="17">
        <f t="shared" si="10"/>
        <v>3.5411147753689788E-3</v>
      </c>
      <c r="Z25" s="18">
        <f t="shared" si="11"/>
        <v>7140000</v>
      </c>
      <c r="AA25" s="17">
        <f t="shared" si="12"/>
        <v>1.9300427096285884E-2</v>
      </c>
      <c r="AB25" s="13" t="s">
        <v>91</v>
      </c>
      <c r="AC25" s="18">
        <f t="shared" si="13"/>
        <v>1310000</v>
      </c>
      <c r="AD25" s="24" t="str">
        <f t="shared" si="14"/>
        <v/>
      </c>
      <c r="AE25" s="17">
        <f t="shared" si="15"/>
        <v>8.345407363356306E-3</v>
      </c>
      <c r="AF25" s="20" t="str">
        <f t="shared" si="16"/>
        <v>CLOSED</v>
      </c>
      <c r="AG25" s="24" t="str">
        <f t="shared" si="17"/>
        <v/>
      </c>
      <c r="AH25" s="24" t="str">
        <f t="shared" si="18"/>
        <v>—</v>
      </c>
      <c r="AI25" s="2"/>
    </row>
    <row r="26" spans="1:35" ht="18" customHeight="1">
      <c r="A26" s="12">
        <f t="shared" si="0"/>
        <v>21</v>
      </c>
      <c r="B26" s="13" t="s">
        <v>55</v>
      </c>
      <c r="C26" s="13" t="s">
        <v>56</v>
      </c>
      <c r="D26" s="13" t="s">
        <v>92</v>
      </c>
      <c r="E26" s="13" t="s">
        <v>62</v>
      </c>
      <c r="F26" s="14">
        <v>46085</v>
      </c>
      <c r="G26" s="15">
        <v>1599.5</v>
      </c>
      <c r="H26" s="16">
        <v>5000</v>
      </c>
      <c r="I26" s="13">
        <v>10</v>
      </c>
      <c r="J26" s="17">
        <f t="shared" si="1"/>
        <v>0.1</v>
      </c>
      <c r="K26" s="18">
        <f t="shared" si="2"/>
        <v>79975000</v>
      </c>
      <c r="L26" s="18">
        <f t="shared" si="3"/>
        <v>7997500</v>
      </c>
      <c r="M26" s="19">
        <v>0.5</v>
      </c>
      <c r="N26" s="20" t="str">
        <f t="shared" si="4"/>
        <v>—</v>
      </c>
      <c r="O26" s="15">
        <v>1570</v>
      </c>
      <c r="P26" s="18">
        <f t="shared" si="5"/>
        <v>7850000</v>
      </c>
      <c r="Q26" s="18">
        <f t="shared" si="6"/>
        <v>1475000</v>
      </c>
      <c r="R26" s="17">
        <f t="shared" si="7"/>
        <v>0.18443263519849953</v>
      </c>
      <c r="S26" s="21">
        <f>IFERROR(L26/(IFERROR(LOOKUP(2,1/('Transaction Log'!H5:H106&lt;&gt;""),'Transaction Log'!H5:H106),0)),"")</f>
        <v>3.9012195121951219E-3</v>
      </c>
      <c r="T26" s="14">
        <v>46086</v>
      </c>
      <c r="U26" s="22">
        <f t="shared" ca="1" si="8"/>
        <v>1</v>
      </c>
      <c r="V26" s="15">
        <v>1620</v>
      </c>
      <c r="W26" s="15">
        <v>1570</v>
      </c>
      <c r="X26" s="18">
        <f t="shared" si="9"/>
        <v>1025000</v>
      </c>
      <c r="Y26" s="17">
        <f t="shared" si="10"/>
        <v>1.2816505157861832E-2</v>
      </c>
      <c r="Z26" s="18">
        <f t="shared" si="11"/>
        <v>1475000</v>
      </c>
      <c r="AA26" s="17">
        <f t="shared" si="12"/>
        <v>1.8443263519849953E-2</v>
      </c>
      <c r="AB26" s="13" t="s">
        <v>93</v>
      </c>
      <c r="AC26" s="18">
        <f t="shared" si="13"/>
        <v>1025000</v>
      </c>
      <c r="AD26" s="24">
        <f t="shared" si="14"/>
        <v>1570</v>
      </c>
      <c r="AE26" s="17">
        <f t="shared" si="15"/>
        <v>1.8443263519849953E-2</v>
      </c>
      <c r="AF26" s="20" t="str">
        <f t="shared" si="16"/>
        <v>TAKE PROFIT HIT</v>
      </c>
      <c r="AG26" s="24">
        <f t="shared" si="17"/>
        <v>1570</v>
      </c>
      <c r="AH26" s="24" t="str">
        <f t="shared" si="18"/>
        <v>—</v>
      </c>
      <c r="AI26" s="2"/>
    </row>
    <row r="27" spans="1:35" ht="18" customHeight="1">
      <c r="A27" s="12">
        <f t="shared" si="0"/>
        <v>22</v>
      </c>
      <c r="B27" s="13" t="s">
        <v>55</v>
      </c>
      <c r="C27" s="13" t="s">
        <v>94</v>
      </c>
      <c r="D27" s="13" t="s">
        <v>95</v>
      </c>
      <c r="E27" s="13" t="s">
        <v>58</v>
      </c>
      <c r="F27" s="14">
        <v>46085</v>
      </c>
      <c r="G27" s="15">
        <v>20.69</v>
      </c>
      <c r="H27" s="16">
        <v>800000</v>
      </c>
      <c r="I27" s="13">
        <v>25</v>
      </c>
      <c r="J27" s="17">
        <f t="shared" si="1"/>
        <v>0.04</v>
      </c>
      <c r="K27" s="18">
        <f t="shared" si="2"/>
        <v>413800000.00000006</v>
      </c>
      <c r="L27" s="18">
        <f t="shared" si="3"/>
        <v>16552000.000000002</v>
      </c>
      <c r="M27" s="19">
        <v>0.5</v>
      </c>
      <c r="N27" s="20" t="str">
        <f t="shared" si="4"/>
        <v>—</v>
      </c>
      <c r="O27" s="15">
        <v>20.47</v>
      </c>
      <c r="P27" s="18">
        <f t="shared" si="5"/>
        <v>16376000</v>
      </c>
      <c r="Q27" s="18">
        <f t="shared" si="6"/>
        <v>-4400000.0000000484</v>
      </c>
      <c r="R27" s="17">
        <f t="shared" si="7"/>
        <v>-0.26582890285162203</v>
      </c>
      <c r="S27" s="21">
        <f>IFERROR(L27/(IFERROR(LOOKUP(2,1/('Transaction Log'!H5:H106&lt;&gt;""),'Transaction Log'!H5:H106),0)),"")</f>
        <v>8.0741463414634156E-3</v>
      </c>
      <c r="T27" s="14">
        <v>46086</v>
      </c>
      <c r="U27" s="22">
        <f t="shared" ca="1" si="8"/>
        <v>1</v>
      </c>
      <c r="V27" s="15">
        <v>20.47</v>
      </c>
      <c r="W27" s="15">
        <v>21.3</v>
      </c>
      <c r="X27" s="18">
        <f t="shared" si="9"/>
        <v>4400000.0000000484</v>
      </c>
      <c r="Y27" s="17">
        <f t="shared" si="10"/>
        <v>1.0633156114064882E-2</v>
      </c>
      <c r="Z27" s="18">
        <f t="shared" si="11"/>
        <v>12199999.999999989</v>
      </c>
      <c r="AA27" s="17">
        <f t="shared" si="12"/>
        <v>2.9482841952634092E-2</v>
      </c>
      <c r="AB27" s="13" t="s">
        <v>96</v>
      </c>
      <c r="AC27" s="18">
        <f t="shared" si="13"/>
        <v>4400000.0000000484</v>
      </c>
      <c r="AD27" s="24">
        <f t="shared" si="14"/>
        <v>20.47</v>
      </c>
      <c r="AE27" s="17">
        <f t="shared" si="15"/>
        <v>-1.0633156114064882E-2</v>
      </c>
      <c r="AF27" s="20" t="str">
        <f t="shared" si="16"/>
        <v>STOP LOSS HIT</v>
      </c>
      <c r="AG27" s="24">
        <f t="shared" si="17"/>
        <v>20.47</v>
      </c>
      <c r="AH27" s="24" t="str">
        <f t="shared" si="18"/>
        <v>—</v>
      </c>
      <c r="AI27" s="2"/>
    </row>
    <row r="28" spans="1:35" ht="18" customHeight="1">
      <c r="A28" s="12">
        <f t="shared" si="0"/>
        <v>23</v>
      </c>
      <c r="B28" s="13" t="s">
        <v>55</v>
      </c>
      <c r="C28" s="13" t="s">
        <v>64</v>
      </c>
      <c r="D28" s="13" t="s">
        <v>72</v>
      </c>
      <c r="E28" s="13" t="s">
        <v>58</v>
      </c>
      <c r="F28" s="14">
        <v>46082</v>
      </c>
      <c r="G28" s="15">
        <v>70.900000000000006</v>
      </c>
      <c r="H28" s="16">
        <v>100000</v>
      </c>
      <c r="I28" s="13">
        <v>10</v>
      </c>
      <c r="J28" s="17">
        <f t="shared" si="1"/>
        <v>0.1</v>
      </c>
      <c r="K28" s="18">
        <f t="shared" si="2"/>
        <v>70900000.000000015</v>
      </c>
      <c r="L28" s="18">
        <f t="shared" si="3"/>
        <v>7090000.0000000009</v>
      </c>
      <c r="M28" s="19">
        <v>0.5</v>
      </c>
      <c r="N28" s="20" t="str">
        <f t="shared" si="4"/>
        <v>—</v>
      </c>
      <c r="O28" s="15">
        <v>76</v>
      </c>
      <c r="P28" s="18">
        <f t="shared" si="5"/>
        <v>7600000</v>
      </c>
      <c r="Q28" s="18">
        <f t="shared" si="6"/>
        <v>5099999.9999999944</v>
      </c>
      <c r="R28" s="17">
        <f t="shared" si="7"/>
        <v>0.71932299012693846</v>
      </c>
      <c r="S28" s="21">
        <f>IFERROR(L28/(IFERROR(LOOKUP(2,1/('Transaction Log'!H5:H106&lt;&gt;""),'Transaction Log'!H5:H106),0)),"")</f>
        <v>3.4585365853658542E-3</v>
      </c>
      <c r="T28" s="14">
        <v>46085</v>
      </c>
      <c r="U28" s="22">
        <f t="shared" ca="1" si="8"/>
        <v>3</v>
      </c>
      <c r="V28" s="15">
        <v>68.5</v>
      </c>
      <c r="W28" s="15">
        <v>76</v>
      </c>
      <c r="X28" s="18">
        <f t="shared" si="9"/>
        <v>2400000.0000000056</v>
      </c>
      <c r="Y28" s="17">
        <f t="shared" si="10"/>
        <v>3.3850493653032519E-2</v>
      </c>
      <c r="Z28" s="18">
        <f t="shared" si="11"/>
        <v>5099999.9999999944</v>
      </c>
      <c r="AA28" s="17">
        <f t="shared" si="12"/>
        <v>7.1932299012693851E-2</v>
      </c>
      <c r="AB28" s="13" t="s">
        <v>97</v>
      </c>
      <c r="AC28" s="18">
        <f t="shared" si="13"/>
        <v>2400000.0000000056</v>
      </c>
      <c r="AD28" s="24">
        <f t="shared" si="14"/>
        <v>76</v>
      </c>
      <c r="AE28" s="17">
        <f t="shared" si="15"/>
        <v>7.1932299012693851E-2</v>
      </c>
      <c r="AF28" s="20" t="str">
        <f t="shared" si="16"/>
        <v>TAKE PROFIT HIT</v>
      </c>
      <c r="AG28" s="24">
        <f t="shared" si="17"/>
        <v>76</v>
      </c>
      <c r="AH28" s="24" t="str">
        <f t="shared" si="18"/>
        <v>—</v>
      </c>
      <c r="AI28" s="2"/>
    </row>
    <row r="29" spans="1:35" ht="18" customHeight="1">
      <c r="A29" s="25">
        <f t="shared" si="0"/>
        <v>24</v>
      </c>
      <c r="B29" s="26" t="s">
        <v>98</v>
      </c>
      <c r="C29" s="26" t="s">
        <v>64</v>
      </c>
      <c r="D29" s="26" t="s">
        <v>72</v>
      </c>
      <c r="E29" s="26" t="s">
        <v>58</v>
      </c>
      <c r="F29" s="27">
        <v>46095</v>
      </c>
      <c r="G29" s="28">
        <v>97.632999999999996</v>
      </c>
      <c r="H29" s="29">
        <v>1200000</v>
      </c>
      <c r="I29" s="26">
        <v>20</v>
      </c>
      <c r="J29" s="30">
        <f t="shared" si="1"/>
        <v>0.05</v>
      </c>
      <c r="K29" s="31">
        <f t="shared" si="2"/>
        <v>2343192000</v>
      </c>
      <c r="L29" s="31">
        <f t="shared" si="3"/>
        <v>117159600</v>
      </c>
      <c r="M29" s="32">
        <v>0.5</v>
      </c>
      <c r="N29" s="33" t="str">
        <f t="shared" si="4"/>
        <v>OK</v>
      </c>
      <c r="O29" s="28">
        <v>98.71</v>
      </c>
      <c r="P29" s="31">
        <f t="shared" si="5"/>
        <v>118451999.99999999</v>
      </c>
      <c r="Q29" s="31">
        <f t="shared" si="6"/>
        <v>25847999.999999959</v>
      </c>
      <c r="R29" s="30">
        <f t="shared" si="7"/>
        <v>0.22062212571569004</v>
      </c>
      <c r="S29" s="34">
        <f>IFERROR(L29/(IFERROR(LOOKUP(2,1/('Transaction Log'!H5:H106&lt;&gt;""),'Transaction Log'!H5:H106),0)),"")</f>
        <v>5.7151024390243901E-2</v>
      </c>
      <c r="T29" s="35"/>
      <c r="U29" s="36">
        <f t="shared" ca="1" si="8"/>
        <v>1</v>
      </c>
      <c r="V29" s="28">
        <v>92</v>
      </c>
      <c r="W29" s="28">
        <v>148.5</v>
      </c>
      <c r="X29" s="31">
        <f t="shared" si="9"/>
        <v>135191999.99999988</v>
      </c>
      <c r="Y29" s="30">
        <f t="shared" si="10"/>
        <v>5.7695656181823728E-2</v>
      </c>
      <c r="Z29" s="31">
        <f t="shared" si="11"/>
        <v>1220808000.0000002</v>
      </c>
      <c r="AA29" s="30">
        <f t="shared" si="12"/>
        <v>0.52100212018477365</v>
      </c>
      <c r="AB29" s="26" t="s">
        <v>99</v>
      </c>
      <c r="AC29" s="31">
        <f t="shared" si="13"/>
        <v>135191999.99999988</v>
      </c>
      <c r="AD29" s="37" t="str">
        <f t="shared" si="14"/>
        <v/>
      </c>
      <c r="AE29" s="30">
        <f t="shared" si="15"/>
        <v>1.1031106285784501E-2</v>
      </c>
      <c r="AF29" s="33" t="str">
        <f t="shared" si="16"/>
        <v>Active</v>
      </c>
      <c r="AG29" s="37" t="str">
        <f t="shared" si="17"/>
        <v/>
      </c>
      <c r="AH29" s="37">
        <f t="shared" si="18"/>
        <v>92.751349999999988</v>
      </c>
      <c r="AI29" s="2"/>
    </row>
    <row r="30" spans="1:35" ht="18" customHeight="1">
      <c r="A30" s="25">
        <f t="shared" si="0"/>
        <v>25</v>
      </c>
      <c r="B30" s="26" t="s">
        <v>98</v>
      </c>
      <c r="C30" s="26" t="s">
        <v>64</v>
      </c>
      <c r="D30" s="26" t="s">
        <v>72</v>
      </c>
      <c r="E30" s="26" t="s">
        <v>58</v>
      </c>
      <c r="F30" s="27">
        <v>46095</v>
      </c>
      <c r="G30" s="28">
        <v>97.632999999999996</v>
      </c>
      <c r="H30" s="29">
        <v>800000</v>
      </c>
      <c r="I30" s="26">
        <v>20</v>
      </c>
      <c r="J30" s="30">
        <f t="shared" si="1"/>
        <v>0.05</v>
      </c>
      <c r="K30" s="31">
        <f t="shared" si="2"/>
        <v>1562128000</v>
      </c>
      <c r="L30" s="31">
        <f t="shared" si="3"/>
        <v>78106400</v>
      </c>
      <c r="M30" s="32">
        <v>0.5</v>
      </c>
      <c r="N30" s="33" t="str">
        <f t="shared" si="4"/>
        <v>OK</v>
      </c>
      <c r="O30" s="28">
        <v>98.71</v>
      </c>
      <c r="P30" s="31">
        <f t="shared" si="5"/>
        <v>78968000</v>
      </c>
      <c r="Q30" s="31">
        <f t="shared" si="6"/>
        <v>17231999.99999997</v>
      </c>
      <c r="R30" s="30">
        <f t="shared" si="7"/>
        <v>0.22062212571569001</v>
      </c>
      <c r="S30" s="34">
        <f>IFERROR(L30/(IFERROR(LOOKUP(2,1/('Transaction Log'!H5:H106&lt;&gt;""),'Transaction Log'!H5:H106),0)),"")</f>
        <v>3.810068292682927E-2</v>
      </c>
      <c r="T30" s="35"/>
      <c r="U30" s="36">
        <f t="shared" ca="1" si="8"/>
        <v>1</v>
      </c>
      <c r="V30" s="28">
        <v>92</v>
      </c>
      <c r="W30" s="28">
        <v>138</v>
      </c>
      <c r="X30" s="31">
        <f t="shared" si="9"/>
        <v>90127999.999999925</v>
      </c>
      <c r="Y30" s="30">
        <f t="shared" si="10"/>
        <v>5.7695656181823728E-2</v>
      </c>
      <c r="Z30" s="31">
        <f t="shared" si="11"/>
        <v>645872000.00000012</v>
      </c>
      <c r="AA30" s="30">
        <f t="shared" si="12"/>
        <v>0.41345651572726438</v>
      </c>
      <c r="AB30" s="26" t="s">
        <v>100</v>
      </c>
      <c r="AC30" s="31">
        <f t="shared" si="13"/>
        <v>90127999.999999925</v>
      </c>
      <c r="AD30" s="37" t="str">
        <f t="shared" si="14"/>
        <v/>
      </c>
      <c r="AE30" s="30">
        <f t="shared" si="15"/>
        <v>1.1031106285784501E-2</v>
      </c>
      <c r="AF30" s="33" t="str">
        <f t="shared" si="16"/>
        <v>Active</v>
      </c>
      <c r="AG30" s="37" t="str">
        <f t="shared" si="17"/>
        <v/>
      </c>
      <c r="AH30" s="37">
        <f t="shared" si="18"/>
        <v>92.751349999999988</v>
      </c>
      <c r="AI30" s="2"/>
    </row>
    <row r="31" spans="1:3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5.75" customHeight="1"/>
    <row r="111" spans="1:35" ht="15.75" customHeight="1"/>
    <row r="112" spans="1:3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99FF"/>
  </sheetPr>
  <dimension ref="A1:W1000"/>
  <sheetViews>
    <sheetView showGridLines="0" workbookViewId="0"/>
  </sheetViews>
  <sheetFormatPr defaultColWidth="14.42578125" defaultRowHeight="15" customHeight="1"/>
  <cols>
    <col min="1" max="1" width="4" customWidth="1"/>
    <col min="2" max="2" width="16" customWidth="1"/>
    <col min="3" max="3" width="18" customWidth="1"/>
    <col min="4" max="4" width="12" customWidth="1"/>
    <col min="5" max="5" width="14" customWidth="1"/>
    <col min="6" max="6" width="13" customWidth="1"/>
    <col min="7" max="7" width="14" customWidth="1"/>
    <col min="8" max="8" width="18" customWidth="1"/>
    <col min="9" max="9" width="16" customWidth="1"/>
    <col min="10" max="10" width="20" customWidth="1"/>
    <col min="11" max="11" width="12" customWidth="1"/>
    <col min="12" max="12" width="16" customWidth="1"/>
    <col min="13" max="13" width="18" customWidth="1"/>
    <col min="14" max="14" width="16" customWidth="1"/>
    <col min="15" max="15" width="18" customWidth="1"/>
    <col min="16" max="16" width="16" customWidth="1"/>
    <col min="17" max="17" width="18" customWidth="1"/>
    <col min="18" max="18" width="14" customWidth="1"/>
    <col min="19" max="19" width="20" customWidth="1"/>
    <col min="20" max="20" width="12" customWidth="1"/>
    <col min="21" max="21" width="14" customWidth="1"/>
    <col min="22" max="22" width="30" customWidth="1"/>
    <col min="23" max="26" width="8.7109375" customWidth="1"/>
  </cols>
  <sheetData>
    <row r="1" spans="1:23" ht="21.75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3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3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7.75" customHeight="1">
      <c r="A5" s="4" t="s">
        <v>3</v>
      </c>
      <c r="B5" s="4" t="s">
        <v>5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116</v>
      </c>
      <c r="P5" s="4" t="s">
        <v>117</v>
      </c>
      <c r="Q5" s="4" t="s">
        <v>118</v>
      </c>
      <c r="R5" s="4" t="s">
        <v>119</v>
      </c>
      <c r="S5" s="4" t="s">
        <v>120</v>
      </c>
      <c r="T5" s="4" t="s">
        <v>121</v>
      </c>
      <c r="U5" s="4" t="s">
        <v>22</v>
      </c>
      <c r="V5" s="4" t="s">
        <v>48</v>
      </c>
      <c r="W5" s="2"/>
    </row>
    <row r="6" spans="1:23" ht="18" customHeight="1">
      <c r="A6" s="7" t="s">
        <v>122</v>
      </c>
      <c r="B6" s="7" t="s">
        <v>13</v>
      </c>
      <c r="C6" s="6">
        <v>46082</v>
      </c>
      <c r="D6" s="7">
        <v>0</v>
      </c>
      <c r="E6" s="38">
        <f t="shared" ref="E6:E55" si="0">IFERROR(C6+D6,"")</f>
        <v>46082</v>
      </c>
      <c r="F6" s="39">
        <f t="shared" ref="F6:F55" ca="1" si="1">IFERROR(E6-TODAY(),"")</f>
        <v>-14</v>
      </c>
      <c r="G6" s="40" t="str">
        <f t="shared" ref="G6:G55" ca="1" si="2">IFERROR(IF(TODAY()&gt;=E6,"UNLOCKED","LOCKED"),"")</f>
        <v>UNLOCKED</v>
      </c>
      <c r="H6" s="41">
        <f>IFERROR(SUMIF('Transaction Log'!C5:C106,B6,'Transaction Log'!E5:E106),0)</f>
        <v>2000000000</v>
      </c>
      <c r="I6" s="41">
        <f>IFERROR(SUMIF('Transaction Log'!C5:C106,B6,'Transaction Log'!F5:F106),0)</f>
        <v>0</v>
      </c>
      <c r="J6" s="10">
        <f t="shared" ref="J6:J55" si="3">IFERROR(H6-I6,0)</f>
        <v>2000000000</v>
      </c>
      <c r="K6" s="42">
        <f>IFERROR(J6/(IFERROR(LOOKUP(2,1/('Transaction Log'!H5:H106&lt;&gt;""),'Transaction Log'!H5:H106),0)),0)</f>
        <v>0.97560975609756095</v>
      </c>
      <c r="L6" s="41">
        <f>IFERROR(SUM(Positions!Q6:Q105),0)</f>
        <v>1183218559.9999971</v>
      </c>
      <c r="M6" s="10">
        <f t="shared" ref="M6:M55" si="4">IFERROR(K6*L6,0)</f>
        <v>1154359570.7317045</v>
      </c>
      <c r="N6" s="11"/>
      <c r="O6" s="11"/>
      <c r="P6" s="42">
        <f t="shared" ref="P6:P55" si="5">IFERROR(O6/J6,0)</f>
        <v>0</v>
      </c>
      <c r="Q6" s="10">
        <f t="shared" ref="Q6:Q55" si="6">IFERROR(P6*M6,0)</f>
        <v>0</v>
      </c>
      <c r="R6" s="10" t="str">
        <f t="shared" ref="R6:R55" si="7">IFERROR(IF(O6&gt;0,O6+Q6,""),"")</f>
        <v/>
      </c>
      <c r="S6" s="10">
        <f t="shared" ref="S6:S55" si="8">IFERROR(J6-O6,J6)</f>
        <v>2000000000</v>
      </c>
      <c r="T6" s="42">
        <f>IFERROR(S6/(IFERROR(LOOKUP(2,1/('Transaction Log'!H5:H106&lt;&gt;""),'Transaction Log'!H5:H106),0)),0)</f>
        <v>0.97560975609756095</v>
      </c>
      <c r="U6" s="40" t="str">
        <f t="shared" ref="U6:U55" ca="1" si="9">IFERROR(IF(J6&lt;=0,"No Balance",IF(O6&lt;=0,"No Withdrawal",IF(TODAY()&lt;E6,"LOCKED",IF(O6&gt;J6,"Exceeds Balance","Approved")))),"—")</f>
        <v>No Withdrawal</v>
      </c>
      <c r="V6" s="11"/>
      <c r="W6" s="2"/>
    </row>
    <row r="7" spans="1:23" ht="18" customHeight="1">
      <c r="A7" s="7" t="s">
        <v>123</v>
      </c>
      <c r="B7" s="7" t="s">
        <v>17</v>
      </c>
      <c r="C7" s="6">
        <v>46093</v>
      </c>
      <c r="D7" s="7">
        <v>30</v>
      </c>
      <c r="E7" s="38">
        <f t="shared" si="0"/>
        <v>46123</v>
      </c>
      <c r="F7" s="39">
        <f t="shared" ca="1" si="1"/>
        <v>27</v>
      </c>
      <c r="G7" s="40" t="str">
        <f t="shared" ca="1" si="2"/>
        <v>LOCKED</v>
      </c>
      <c r="H7" s="41">
        <f>IFERROR(SUMIF('Transaction Log'!C5:C106,B7,'Transaction Log'!E5:E106),0)</f>
        <v>50000000</v>
      </c>
      <c r="I7" s="41">
        <f>IFERROR(SUMIF('Transaction Log'!C5:C106,B7,'Transaction Log'!F5:F106),0)</f>
        <v>0</v>
      </c>
      <c r="J7" s="10">
        <f t="shared" si="3"/>
        <v>50000000</v>
      </c>
      <c r="K7" s="42">
        <f>IFERROR(J7/(IFERROR(LOOKUP(2,1/('Transaction Log'!H5:H106&lt;&gt;""),'Transaction Log'!H5:H106),0)),0)</f>
        <v>2.4390243902439025E-2</v>
      </c>
      <c r="L7" s="41">
        <f>IFERROR(SUM(Positions!Q6:Q105),0)</f>
        <v>1183218559.9999971</v>
      </c>
      <c r="M7" s="10">
        <f t="shared" si="4"/>
        <v>28858989.268292613</v>
      </c>
      <c r="N7" s="38">
        <f>C7+30</f>
        <v>46123</v>
      </c>
      <c r="O7" s="43">
        <v>50000000</v>
      </c>
      <c r="P7" s="42">
        <f t="shared" si="5"/>
        <v>1</v>
      </c>
      <c r="Q7" s="10">
        <f t="shared" si="6"/>
        <v>28858989.268292613</v>
      </c>
      <c r="R7" s="10">
        <f t="shared" si="7"/>
        <v>78858989.268292606</v>
      </c>
      <c r="S7" s="10">
        <f t="shared" si="8"/>
        <v>0</v>
      </c>
      <c r="T7" s="42">
        <f>IFERROR(S7/(IFERROR(LOOKUP(2,1/('Transaction Log'!H5:H106&lt;&gt;""),'Transaction Log'!H5:H106),0)),0)</f>
        <v>0</v>
      </c>
      <c r="U7" s="40" t="str">
        <f t="shared" ca="1" si="9"/>
        <v>LOCKED</v>
      </c>
      <c r="V7" s="7" t="s">
        <v>124</v>
      </c>
      <c r="W7" s="2"/>
    </row>
    <row r="8" spans="1:23" ht="18" customHeight="1">
      <c r="A8" s="7" t="s">
        <v>125</v>
      </c>
      <c r="B8" s="11"/>
      <c r="C8" s="11"/>
      <c r="D8" s="7"/>
      <c r="E8" s="38">
        <f t="shared" si="0"/>
        <v>0</v>
      </c>
      <c r="F8" s="39">
        <f t="shared" ca="1" si="1"/>
        <v>-46096</v>
      </c>
      <c r="G8" s="40" t="str">
        <f t="shared" ca="1" si="2"/>
        <v>UNLOCKED</v>
      </c>
      <c r="H8" s="41">
        <f>IFERROR(SUMIF('Transaction Log'!C5:C106,B8,'Transaction Log'!E5:E106),0)</f>
        <v>0</v>
      </c>
      <c r="I8" s="41">
        <f>IFERROR(SUMIF('Transaction Log'!C5:C106,B8,'Transaction Log'!F5:F106),0)</f>
        <v>0</v>
      </c>
      <c r="J8" s="10">
        <f t="shared" si="3"/>
        <v>0</v>
      </c>
      <c r="K8" s="42">
        <f>IFERROR(J8/(IFERROR(LOOKUP(2,1/('Transaction Log'!H5:H106&lt;&gt;""),'Transaction Log'!H5:H106),0)),0)</f>
        <v>0</v>
      </c>
      <c r="L8" s="41">
        <f>IFERROR(SUM(Positions!Q6:Q105),0)</f>
        <v>1183218559.9999971</v>
      </c>
      <c r="M8" s="10">
        <f t="shared" si="4"/>
        <v>0</v>
      </c>
      <c r="N8" s="11"/>
      <c r="O8" s="11"/>
      <c r="P8" s="42">
        <f t="shared" si="5"/>
        <v>0</v>
      </c>
      <c r="Q8" s="10">
        <f t="shared" si="6"/>
        <v>0</v>
      </c>
      <c r="R8" s="10" t="str">
        <f t="shared" si="7"/>
        <v/>
      </c>
      <c r="S8" s="10">
        <f t="shared" si="8"/>
        <v>0</v>
      </c>
      <c r="T8" s="42">
        <f>IFERROR(S8/(IFERROR(LOOKUP(2,1/('Transaction Log'!H5:H106&lt;&gt;""),'Transaction Log'!H5:H106),0)),0)</f>
        <v>0</v>
      </c>
      <c r="U8" s="40" t="str">
        <f t="shared" ca="1" si="9"/>
        <v>No Balance</v>
      </c>
      <c r="V8" s="11"/>
      <c r="W8" s="2"/>
    </row>
    <row r="9" spans="1:23" ht="18" customHeight="1">
      <c r="A9" s="7" t="s">
        <v>126</v>
      </c>
      <c r="B9" s="11"/>
      <c r="C9" s="11"/>
      <c r="D9" s="7"/>
      <c r="E9" s="38">
        <f t="shared" si="0"/>
        <v>0</v>
      </c>
      <c r="F9" s="39">
        <f t="shared" ca="1" si="1"/>
        <v>-46096</v>
      </c>
      <c r="G9" s="40" t="str">
        <f t="shared" ca="1" si="2"/>
        <v>UNLOCKED</v>
      </c>
      <c r="H9" s="41">
        <f>IFERROR(SUMIF('Transaction Log'!C5:C106,B9,'Transaction Log'!E5:E106),0)</f>
        <v>0</v>
      </c>
      <c r="I9" s="41">
        <f>IFERROR(SUMIF('Transaction Log'!C5:C106,B9,'Transaction Log'!F5:F106),0)</f>
        <v>0</v>
      </c>
      <c r="J9" s="10">
        <f t="shared" si="3"/>
        <v>0</v>
      </c>
      <c r="K9" s="42">
        <f>IFERROR(J9/(IFERROR(LOOKUP(2,1/('Transaction Log'!H5:H106&lt;&gt;""),'Transaction Log'!H5:H106),0)),0)</f>
        <v>0</v>
      </c>
      <c r="L9" s="41">
        <f>IFERROR(SUM(Positions!Q6:Q105),0)</f>
        <v>1183218559.9999971</v>
      </c>
      <c r="M9" s="10">
        <f t="shared" si="4"/>
        <v>0</v>
      </c>
      <c r="N9" s="11"/>
      <c r="O9" s="11"/>
      <c r="P9" s="42">
        <f t="shared" si="5"/>
        <v>0</v>
      </c>
      <c r="Q9" s="10">
        <f t="shared" si="6"/>
        <v>0</v>
      </c>
      <c r="R9" s="10" t="str">
        <f t="shared" si="7"/>
        <v/>
      </c>
      <c r="S9" s="10">
        <f t="shared" si="8"/>
        <v>0</v>
      </c>
      <c r="T9" s="42">
        <f>IFERROR(S9/(IFERROR(LOOKUP(2,1/('Transaction Log'!H5:H106&lt;&gt;""),'Transaction Log'!H5:H106),0)),0)</f>
        <v>0</v>
      </c>
      <c r="U9" s="40" t="str">
        <f t="shared" ca="1" si="9"/>
        <v>No Balance</v>
      </c>
      <c r="V9" s="11"/>
      <c r="W9" s="2"/>
    </row>
    <row r="10" spans="1:23" ht="18" customHeight="1">
      <c r="A10" s="7" t="s">
        <v>127</v>
      </c>
      <c r="B10" s="11"/>
      <c r="C10" s="11"/>
      <c r="D10" s="7"/>
      <c r="E10" s="38">
        <f t="shared" si="0"/>
        <v>0</v>
      </c>
      <c r="F10" s="39">
        <f t="shared" ca="1" si="1"/>
        <v>-46096</v>
      </c>
      <c r="G10" s="40" t="str">
        <f t="shared" ca="1" si="2"/>
        <v>UNLOCKED</v>
      </c>
      <c r="H10" s="41">
        <f>IFERROR(SUMIF('Transaction Log'!C5:C106,B10,'Transaction Log'!E5:E106),0)</f>
        <v>0</v>
      </c>
      <c r="I10" s="41">
        <f>IFERROR(SUMIF('Transaction Log'!C5:C106,B10,'Transaction Log'!F5:F106),0)</f>
        <v>0</v>
      </c>
      <c r="J10" s="10">
        <f t="shared" si="3"/>
        <v>0</v>
      </c>
      <c r="K10" s="42">
        <f>IFERROR(J10/(IFERROR(LOOKUP(2,1/('Transaction Log'!H5:H106&lt;&gt;""),'Transaction Log'!H5:H106),0)),0)</f>
        <v>0</v>
      </c>
      <c r="L10" s="41">
        <f>IFERROR(SUM(Positions!Q6:Q105),0)</f>
        <v>1183218559.9999971</v>
      </c>
      <c r="M10" s="10">
        <f t="shared" si="4"/>
        <v>0</v>
      </c>
      <c r="N10" s="11"/>
      <c r="O10" s="11"/>
      <c r="P10" s="42">
        <f t="shared" si="5"/>
        <v>0</v>
      </c>
      <c r="Q10" s="10">
        <f t="shared" si="6"/>
        <v>0</v>
      </c>
      <c r="R10" s="10" t="str">
        <f t="shared" si="7"/>
        <v/>
      </c>
      <c r="S10" s="10">
        <f t="shared" si="8"/>
        <v>0</v>
      </c>
      <c r="T10" s="42">
        <f>IFERROR(S10/(IFERROR(LOOKUP(2,1/('Transaction Log'!H5:H106&lt;&gt;""),'Transaction Log'!H5:H106),0)),0)</f>
        <v>0</v>
      </c>
      <c r="U10" s="40" t="str">
        <f t="shared" ca="1" si="9"/>
        <v>No Balance</v>
      </c>
      <c r="V10" s="11"/>
      <c r="W10" s="2"/>
    </row>
    <row r="11" spans="1:23" ht="18" customHeight="1">
      <c r="A11" s="7" t="s">
        <v>128</v>
      </c>
      <c r="B11" s="11"/>
      <c r="C11" s="11"/>
      <c r="D11" s="7"/>
      <c r="E11" s="38">
        <f t="shared" si="0"/>
        <v>0</v>
      </c>
      <c r="F11" s="39">
        <f t="shared" ca="1" si="1"/>
        <v>-46096</v>
      </c>
      <c r="G11" s="40" t="str">
        <f t="shared" ca="1" si="2"/>
        <v>UNLOCKED</v>
      </c>
      <c r="H11" s="41">
        <f>IFERROR(SUMIF('Transaction Log'!C5:C106,B11,'Transaction Log'!E5:E106),0)</f>
        <v>0</v>
      </c>
      <c r="I11" s="41">
        <f>IFERROR(SUMIF('Transaction Log'!C5:C106,B11,'Transaction Log'!F5:F106),0)</f>
        <v>0</v>
      </c>
      <c r="J11" s="10">
        <f t="shared" si="3"/>
        <v>0</v>
      </c>
      <c r="K11" s="42">
        <f>IFERROR(J11/(IFERROR(LOOKUP(2,1/('Transaction Log'!H5:H106&lt;&gt;""),'Transaction Log'!H5:H106),0)),0)</f>
        <v>0</v>
      </c>
      <c r="L11" s="41">
        <f>IFERROR(SUM(Positions!Q6:Q105),0)</f>
        <v>1183218559.9999971</v>
      </c>
      <c r="M11" s="10">
        <f t="shared" si="4"/>
        <v>0</v>
      </c>
      <c r="N11" s="11"/>
      <c r="O11" s="11"/>
      <c r="P11" s="42">
        <f t="shared" si="5"/>
        <v>0</v>
      </c>
      <c r="Q11" s="10">
        <f t="shared" si="6"/>
        <v>0</v>
      </c>
      <c r="R11" s="10" t="str">
        <f t="shared" si="7"/>
        <v/>
      </c>
      <c r="S11" s="10">
        <f t="shared" si="8"/>
        <v>0</v>
      </c>
      <c r="T11" s="42">
        <f>IFERROR(S11/(IFERROR(LOOKUP(2,1/('Transaction Log'!H5:H106&lt;&gt;""),'Transaction Log'!H5:H106),0)),0)</f>
        <v>0</v>
      </c>
      <c r="U11" s="40" t="str">
        <f t="shared" ca="1" si="9"/>
        <v>No Balance</v>
      </c>
      <c r="V11" s="11"/>
      <c r="W11" s="2"/>
    </row>
    <row r="12" spans="1:23" ht="18" customHeight="1">
      <c r="A12" s="7" t="s">
        <v>129</v>
      </c>
      <c r="B12" s="11"/>
      <c r="C12" s="11"/>
      <c r="D12" s="7"/>
      <c r="E12" s="38">
        <f t="shared" si="0"/>
        <v>0</v>
      </c>
      <c r="F12" s="39">
        <f t="shared" ca="1" si="1"/>
        <v>-46096</v>
      </c>
      <c r="G12" s="40" t="str">
        <f t="shared" ca="1" si="2"/>
        <v>UNLOCKED</v>
      </c>
      <c r="H12" s="41">
        <f>IFERROR(SUMIF('Transaction Log'!C5:C106,B12,'Transaction Log'!E5:E106),0)</f>
        <v>0</v>
      </c>
      <c r="I12" s="41">
        <f>IFERROR(SUMIF('Transaction Log'!C5:C106,B12,'Transaction Log'!F5:F106),0)</f>
        <v>0</v>
      </c>
      <c r="J12" s="10">
        <f t="shared" si="3"/>
        <v>0</v>
      </c>
      <c r="K12" s="42">
        <f>IFERROR(J12/(IFERROR(LOOKUP(2,1/('Transaction Log'!H5:H106&lt;&gt;""),'Transaction Log'!H5:H106),0)),0)</f>
        <v>0</v>
      </c>
      <c r="L12" s="41">
        <f>IFERROR(SUM(Positions!Q6:Q105),0)</f>
        <v>1183218559.9999971</v>
      </c>
      <c r="M12" s="10">
        <f t="shared" si="4"/>
        <v>0</v>
      </c>
      <c r="N12" s="11"/>
      <c r="O12" s="11"/>
      <c r="P12" s="42">
        <f t="shared" si="5"/>
        <v>0</v>
      </c>
      <c r="Q12" s="10">
        <f t="shared" si="6"/>
        <v>0</v>
      </c>
      <c r="R12" s="10" t="str">
        <f t="shared" si="7"/>
        <v/>
      </c>
      <c r="S12" s="10">
        <f t="shared" si="8"/>
        <v>0</v>
      </c>
      <c r="T12" s="42">
        <f>IFERROR(S12/(IFERROR(LOOKUP(2,1/('Transaction Log'!H5:H106&lt;&gt;""),'Transaction Log'!H5:H106),0)),0)</f>
        <v>0</v>
      </c>
      <c r="U12" s="40" t="str">
        <f t="shared" ca="1" si="9"/>
        <v>No Balance</v>
      </c>
      <c r="V12" s="11"/>
      <c r="W12" s="2"/>
    </row>
    <row r="13" spans="1:23" ht="18" customHeight="1">
      <c r="A13" s="7" t="s">
        <v>130</v>
      </c>
      <c r="B13" s="11"/>
      <c r="C13" s="11"/>
      <c r="D13" s="7"/>
      <c r="E13" s="38">
        <f t="shared" si="0"/>
        <v>0</v>
      </c>
      <c r="F13" s="39">
        <f t="shared" ca="1" si="1"/>
        <v>-46096</v>
      </c>
      <c r="G13" s="40" t="str">
        <f t="shared" ca="1" si="2"/>
        <v>UNLOCKED</v>
      </c>
      <c r="H13" s="41">
        <f>IFERROR(SUMIF('Transaction Log'!C5:C106,B13,'Transaction Log'!E5:E106),0)</f>
        <v>0</v>
      </c>
      <c r="I13" s="41">
        <f>IFERROR(SUMIF('Transaction Log'!C5:C106,B13,'Transaction Log'!F5:F106),0)</f>
        <v>0</v>
      </c>
      <c r="J13" s="10">
        <f t="shared" si="3"/>
        <v>0</v>
      </c>
      <c r="K13" s="42">
        <f>IFERROR(J13/(IFERROR(LOOKUP(2,1/('Transaction Log'!H5:H106&lt;&gt;""),'Transaction Log'!H5:H106),0)),0)</f>
        <v>0</v>
      </c>
      <c r="L13" s="41">
        <f>IFERROR(SUM(Positions!Q6:Q105),0)</f>
        <v>1183218559.9999971</v>
      </c>
      <c r="M13" s="10">
        <f t="shared" si="4"/>
        <v>0</v>
      </c>
      <c r="N13" s="11"/>
      <c r="O13" s="11"/>
      <c r="P13" s="42">
        <f t="shared" si="5"/>
        <v>0</v>
      </c>
      <c r="Q13" s="10">
        <f t="shared" si="6"/>
        <v>0</v>
      </c>
      <c r="R13" s="10" t="str">
        <f t="shared" si="7"/>
        <v/>
      </c>
      <c r="S13" s="10">
        <f t="shared" si="8"/>
        <v>0</v>
      </c>
      <c r="T13" s="42">
        <f>IFERROR(S13/(IFERROR(LOOKUP(2,1/('Transaction Log'!H5:H106&lt;&gt;""),'Transaction Log'!H5:H106),0)),0)</f>
        <v>0</v>
      </c>
      <c r="U13" s="40" t="str">
        <f t="shared" ca="1" si="9"/>
        <v>No Balance</v>
      </c>
      <c r="V13" s="11"/>
      <c r="W13" s="2"/>
    </row>
    <row r="14" spans="1:23" ht="18" customHeight="1">
      <c r="A14" s="7" t="s">
        <v>131</v>
      </c>
      <c r="B14" s="11"/>
      <c r="C14" s="11"/>
      <c r="D14" s="7"/>
      <c r="E14" s="38">
        <f t="shared" si="0"/>
        <v>0</v>
      </c>
      <c r="F14" s="39">
        <f t="shared" ca="1" si="1"/>
        <v>-46096</v>
      </c>
      <c r="G14" s="40" t="str">
        <f t="shared" ca="1" si="2"/>
        <v>UNLOCKED</v>
      </c>
      <c r="H14" s="41">
        <f>IFERROR(SUMIF('Transaction Log'!C5:C106,B14,'Transaction Log'!E5:E106),0)</f>
        <v>0</v>
      </c>
      <c r="I14" s="41">
        <f>IFERROR(SUMIF('Transaction Log'!C5:C106,B14,'Transaction Log'!F5:F106),0)</f>
        <v>0</v>
      </c>
      <c r="J14" s="10">
        <f t="shared" si="3"/>
        <v>0</v>
      </c>
      <c r="K14" s="42">
        <f>IFERROR(J14/(IFERROR(LOOKUP(2,1/('Transaction Log'!H5:H106&lt;&gt;""),'Transaction Log'!H5:H106),0)),0)</f>
        <v>0</v>
      </c>
      <c r="L14" s="41">
        <f>IFERROR(SUM(Positions!Q6:Q105),0)</f>
        <v>1183218559.9999971</v>
      </c>
      <c r="M14" s="10">
        <f t="shared" si="4"/>
        <v>0</v>
      </c>
      <c r="N14" s="11"/>
      <c r="O14" s="11"/>
      <c r="P14" s="42">
        <f t="shared" si="5"/>
        <v>0</v>
      </c>
      <c r="Q14" s="10">
        <f t="shared" si="6"/>
        <v>0</v>
      </c>
      <c r="R14" s="10" t="str">
        <f t="shared" si="7"/>
        <v/>
      </c>
      <c r="S14" s="10">
        <f t="shared" si="8"/>
        <v>0</v>
      </c>
      <c r="T14" s="42">
        <f>IFERROR(S14/(IFERROR(LOOKUP(2,1/('Transaction Log'!H5:H106&lt;&gt;""),'Transaction Log'!H5:H106),0)),0)</f>
        <v>0</v>
      </c>
      <c r="U14" s="40" t="str">
        <f t="shared" ca="1" si="9"/>
        <v>No Balance</v>
      </c>
      <c r="V14" s="11"/>
      <c r="W14" s="2"/>
    </row>
    <row r="15" spans="1:23" ht="18" customHeight="1">
      <c r="A15" s="7" t="s">
        <v>132</v>
      </c>
      <c r="B15" s="11"/>
      <c r="C15" s="11"/>
      <c r="D15" s="7"/>
      <c r="E15" s="38">
        <f t="shared" si="0"/>
        <v>0</v>
      </c>
      <c r="F15" s="39">
        <f t="shared" ca="1" si="1"/>
        <v>-46096</v>
      </c>
      <c r="G15" s="40" t="str">
        <f t="shared" ca="1" si="2"/>
        <v>UNLOCKED</v>
      </c>
      <c r="H15" s="41">
        <f>IFERROR(SUMIF('Transaction Log'!C5:C106,B15,'Transaction Log'!E5:E106),0)</f>
        <v>0</v>
      </c>
      <c r="I15" s="41">
        <f>IFERROR(SUMIF('Transaction Log'!C5:C106,B15,'Transaction Log'!F5:F106),0)</f>
        <v>0</v>
      </c>
      <c r="J15" s="10">
        <f t="shared" si="3"/>
        <v>0</v>
      </c>
      <c r="K15" s="42">
        <f>IFERROR(J15/(IFERROR(LOOKUP(2,1/('Transaction Log'!H5:H106&lt;&gt;""),'Transaction Log'!H5:H106),0)),0)</f>
        <v>0</v>
      </c>
      <c r="L15" s="41">
        <f>IFERROR(SUM(Positions!Q6:Q105),0)</f>
        <v>1183218559.9999971</v>
      </c>
      <c r="M15" s="10">
        <f t="shared" si="4"/>
        <v>0</v>
      </c>
      <c r="N15" s="11"/>
      <c r="O15" s="11"/>
      <c r="P15" s="42">
        <f t="shared" si="5"/>
        <v>0</v>
      </c>
      <c r="Q15" s="10">
        <f t="shared" si="6"/>
        <v>0</v>
      </c>
      <c r="R15" s="10" t="str">
        <f t="shared" si="7"/>
        <v/>
      </c>
      <c r="S15" s="10">
        <f t="shared" si="8"/>
        <v>0</v>
      </c>
      <c r="T15" s="42">
        <f>IFERROR(S15/(IFERROR(LOOKUP(2,1/('Transaction Log'!H5:H106&lt;&gt;""),'Transaction Log'!H5:H106),0)),0)</f>
        <v>0</v>
      </c>
      <c r="U15" s="40" t="str">
        <f t="shared" ca="1" si="9"/>
        <v>No Balance</v>
      </c>
      <c r="V15" s="11"/>
      <c r="W15" s="2"/>
    </row>
    <row r="16" spans="1:23" ht="18" customHeight="1">
      <c r="A16" s="7" t="s">
        <v>133</v>
      </c>
      <c r="B16" s="11"/>
      <c r="C16" s="11"/>
      <c r="D16" s="7"/>
      <c r="E16" s="38">
        <f t="shared" si="0"/>
        <v>0</v>
      </c>
      <c r="F16" s="39">
        <f t="shared" ca="1" si="1"/>
        <v>-46096</v>
      </c>
      <c r="G16" s="40" t="str">
        <f t="shared" ca="1" si="2"/>
        <v>UNLOCKED</v>
      </c>
      <c r="H16" s="41">
        <f>IFERROR(SUMIF('Transaction Log'!C5:C106,B16,'Transaction Log'!E5:E106),0)</f>
        <v>0</v>
      </c>
      <c r="I16" s="41">
        <f>IFERROR(SUMIF('Transaction Log'!C5:C106,B16,'Transaction Log'!F5:F106),0)</f>
        <v>0</v>
      </c>
      <c r="J16" s="10">
        <f t="shared" si="3"/>
        <v>0</v>
      </c>
      <c r="K16" s="42">
        <f>IFERROR(J16/(IFERROR(LOOKUP(2,1/('Transaction Log'!H5:H106&lt;&gt;""),'Transaction Log'!H5:H106),0)),0)</f>
        <v>0</v>
      </c>
      <c r="L16" s="41">
        <f>IFERROR(SUM(Positions!Q6:Q105),0)</f>
        <v>1183218559.9999971</v>
      </c>
      <c r="M16" s="10">
        <f t="shared" si="4"/>
        <v>0</v>
      </c>
      <c r="N16" s="11"/>
      <c r="O16" s="11"/>
      <c r="P16" s="42">
        <f t="shared" si="5"/>
        <v>0</v>
      </c>
      <c r="Q16" s="10">
        <f t="shared" si="6"/>
        <v>0</v>
      </c>
      <c r="R16" s="10" t="str">
        <f t="shared" si="7"/>
        <v/>
      </c>
      <c r="S16" s="10">
        <f t="shared" si="8"/>
        <v>0</v>
      </c>
      <c r="T16" s="42">
        <f>IFERROR(S16/(IFERROR(LOOKUP(2,1/('Transaction Log'!H5:H106&lt;&gt;""),'Transaction Log'!H5:H106),0)),0)</f>
        <v>0</v>
      </c>
      <c r="U16" s="40" t="str">
        <f t="shared" ca="1" si="9"/>
        <v>No Balance</v>
      </c>
      <c r="V16" s="11"/>
      <c r="W16" s="2"/>
    </row>
    <row r="17" spans="1:23" ht="18" customHeight="1">
      <c r="A17" s="7" t="s">
        <v>134</v>
      </c>
      <c r="B17" s="11"/>
      <c r="C17" s="11"/>
      <c r="D17" s="7"/>
      <c r="E17" s="38">
        <f t="shared" si="0"/>
        <v>0</v>
      </c>
      <c r="F17" s="39">
        <f t="shared" ca="1" si="1"/>
        <v>-46096</v>
      </c>
      <c r="G17" s="40" t="str">
        <f t="shared" ca="1" si="2"/>
        <v>UNLOCKED</v>
      </c>
      <c r="H17" s="41">
        <f>IFERROR(SUMIF('Transaction Log'!C5:C106,B17,'Transaction Log'!E5:E106),0)</f>
        <v>0</v>
      </c>
      <c r="I17" s="41">
        <f>IFERROR(SUMIF('Transaction Log'!C5:C106,B17,'Transaction Log'!F5:F106),0)</f>
        <v>0</v>
      </c>
      <c r="J17" s="10">
        <f t="shared" si="3"/>
        <v>0</v>
      </c>
      <c r="K17" s="42">
        <f>IFERROR(J17/(IFERROR(LOOKUP(2,1/('Transaction Log'!H5:H106&lt;&gt;""),'Transaction Log'!H5:H106),0)),0)</f>
        <v>0</v>
      </c>
      <c r="L17" s="41">
        <f>IFERROR(SUM(Positions!Q6:Q105),0)</f>
        <v>1183218559.9999971</v>
      </c>
      <c r="M17" s="10">
        <f t="shared" si="4"/>
        <v>0</v>
      </c>
      <c r="N17" s="11"/>
      <c r="O17" s="11"/>
      <c r="P17" s="42">
        <f t="shared" si="5"/>
        <v>0</v>
      </c>
      <c r="Q17" s="10">
        <f t="shared" si="6"/>
        <v>0</v>
      </c>
      <c r="R17" s="10" t="str">
        <f t="shared" si="7"/>
        <v/>
      </c>
      <c r="S17" s="10">
        <f t="shared" si="8"/>
        <v>0</v>
      </c>
      <c r="T17" s="42">
        <f>IFERROR(S17/(IFERROR(LOOKUP(2,1/('Transaction Log'!H5:H106&lt;&gt;""),'Transaction Log'!H5:H106),0)),0)</f>
        <v>0</v>
      </c>
      <c r="U17" s="40" t="str">
        <f t="shared" ca="1" si="9"/>
        <v>No Balance</v>
      </c>
      <c r="V17" s="11"/>
      <c r="W17" s="2"/>
    </row>
    <row r="18" spans="1:23" ht="18" customHeight="1">
      <c r="A18" s="7" t="s">
        <v>135</v>
      </c>
      <c r="B18" s="11"/>
      <c r="C18" s="11"/>
      <c r="D18" s="7"/>
      <c r="E18" s="38">
        <f t="shared" si="0"/>
        <v>0</v>
      </c>
      <c r="F18" s="39">
        <f t="shared" ca="1" si="1"/>
        <v>-46096</v>
      </c>
      <c r="G18" s="40" t="str">
        <f t="shared" ca="1" si="2"/>
        <v>UNLOCKED</v>
      </c>
      <c r="H18" s="41">
        <f>IFERROR(SUMIF('Transaction Log'!C5:C106,B18,'Transaction Log'!E5:E106),0)</f>
        <v>0</v>
      </c>
      <c r="I18" s="41">
        <f>IFERROR(SUMIF('Transaction Log'!C5:C106,B18,'Transaction Log'!F5:F106),0)</f>
        <v>0</v>
      </c>
      <c r="J18" s="10">
        <f t="shared" si="3"/>
        <v>0</v>
      </c>
      <c r="K18" s="42">
        <f>IFERROR(J18/(IFERROR(LOOKUP(2,1/('Transaction Log'!H5:H106&lt;&gt;""),'Transaction Log'!H5:H106),0)),0)</f>
        <v>0</v>
      </c>
      <c r="L18" s="41">
        <f>IFERROR(SUM(Positions!Q6:Q105),0)</f>
        <v>1183218559.9999971</v>
      </c>
      <c r="M18" s="10">
        <f t="shared" si="4"/>
        <v>0</v>
      </c>
      <c r="N18" s="11"/>
      <c r="O18" s="11"/>
      <c r="P18" s="42">
        <f t="shared" si="5"/>
        <v>0</v>
      </c>
      <c r="Q18" s="10">
        <f t="shared" si="6"/>
        <v>0</v>
      </c>
      <c r="R18" s="10" t="str">
        <f t="shared" si="7"/>
        <v/>
      </c>
      <c r="S18" s="10">
        <f t="shared" si="8"/>
        <v>0</v>
      </c>
      <c r="T18" s="42">
        <f>IFERROR(S18/(IFERROR(LOOKUP(2,1/('Transaction Log'!H5:H106&lt;&gt;""),'Transaction Log'!H5:H106),0)),0)</f>
        <v>0</v>
      </c>
      <c r="U18" s="40" t="str">
        <f t="shared" ca="1" si="9"/>
        <v>No Balance</v>
      </c>
      <c r="V18" s="11"/>
      <c r="W18" s="2"/>
    </row>
    <row r="19" spans="1:23" ht="18" customHeight="1">
      <c r="A19" s="7" t="s">
        <v>136</v>
      </c>
      <c r="B19" s="11"/>
      <c r="C19" s="11"/>
      <c r="D19" s="7"/>
      <c r="E19" s="38">
        <f t="shared" si="0"/>
        <v>0</v>
      </c>
      <c r="F19" s="39">
        <f t="shared" ca="1" si="1"/>
        <v>-46096</v>
      </c>
      <c r="G19" s="40" t="str">
        <f t="shared" ca="1" si="2"/>
        <v>UNLOCKED</v>
      </c>
      <c r="H19" s="41">
        <f>IFERROR(SUMIF('Transaction Log'!C5:C106,B19,'Transaction Log'!E5:E106),0)</f>
        <v>0</v>
      </c>
      <c r="I19" s="41">
        <f>IFERROR(SUMIF('Transaction Log'!C5:C106,B19,'Transaction Log'!F5:F106),0)</f>
        <v>0</v>
      </c>
      <c r="J19" s="10">
        <f t="shared" si="3"/>
        <v>0</v>
      </c>
      <c r="K19" s="42">
        <f>IFERROR(J19/(IFERROR(LOOKUP(2,1/('Transaction Log'!H5:H106&lt;&gt;""),'Transaction Log'!H5:H106),0)),0)</f>
        <v>0</v>
      </c>
      <c r="L19" s="41">
        <f>IFERROR(SUM(Positions!Q6:Q105),0)</f>
        <v>1183218559.9999971</v>
      </c>
      <c r="M19" s="10">
        <f t="shared" si="4"/>
        <v>0</v>
      </c>
      <c r="N19" s="11"/>
      <c r="O19" s="11"/>
      <c r="P19" s="42">
        <f t="shared" si="5"/>
        <v>0</v>
      </c>
      <c r="Q19" s="10">
        <f t="shared" si="6"/>
        <v>0</v>
      </c>
      <c r="R19" s="10" t="str">
        <f t="shared" si="7"/>
        <v/>
      </c>
      <c r="S19" s="10">
        <f t="shared" si="8"/>
        <v>0</v>
      </c>
      <c r="T19" s="42">
        <f>IFERROR(S19/(IFERROR(LOOKUP(2,1/('Transaction Log'!H5:H106&lt;&gt;""),'Transaction Log'!H5:H106),0)),0)</f>
        <v>0</v>
      </c>
      <c r="U19" s="40" t="str">
        <f t="shared" ca="1" si="9"/>
        <v>No Balance</v>
      </c>
      <c r="V19" s="11"/>
      <c r="W19" s="2"/>
    </row>
    <row r="20" spans="1:23" ht="18" customHeight="1">
      <c r="A20" s="7" t="s">
        <v>137</v>
      </c>
      <c r="B20" s="11"/>
      <c r="C20" s="11"/>
      <c r="D20" s="7"/>
      <c r="E20" s="38">
        <f t="shared" si="0"/>
        <v>0</v>
      </c>
      <c r="F20" s="39">
        <f t="shared" ca="1" si="1"/>
        <v>-46096</v>
      </c>
      <c r="G20" s="40" t="str">
        <f t="shared" ca="1" si="2"/>
        <v>UNLOCKED</v>
      </c>
      <c r="H20" s="41">
        <f>IFERROR(SUMIF('Transaction Log'!C5:C106,B20,'Transaction Log'!E5:E106),0)</f>
        <v>0</v>
      </c>
      <c r="I20" s="41">
        <f>IFERROR(SUMIF('Transaction Log'!C5:C106,B20,'Transaction Log'!F5:F106),0)</f>
        <v>0</v>
      </c>
      <c r="J20" s="10">
        <f t="shared" si="3"/>
        <v>0</v>
      </c>
      <c r="K20" s="42">
        <f>IFERROR(J20/(IFERROR(LOOKUP(2,1/('Transaction Log'!H5:H106&lt;&gt;""),'Transaction Log'!H5:H106),0)),0)</f>
        <v>0</v>
      </c>
      <c r="L20" s="41">
        <f>IFERROR(SUM(Positions!Q6:Q105),0)</f>
        <v>1183218559.9999971</v>
      </c>
      <c r="M20" s="10">
        <f t="shared" si="4"/>
        <v>0</v>
      </c>
      <c r="N20" s="11"/>
      <c r="O20" s="11"/>
      <c r="P20" s="42">
        <f t="shared" si="5"/>
        <v>0</v>
      </c>
      <c r="Q20" s="10">
        <f t="shared" si="6"/>
        <v>0</v>
      </c>
      <c r="R20" s="10" t="str">
        <f t="shared" si="7"/>
        <v/>
      </c>
      <c r="S20" s="10">
        <f t="shared" si="8"/>
        <v>0</v>
      </c>
      <c r="T20" s="42">
        <f>IFERROR(S20/(IFERROR(LOOKUP(2,1/('Transaction Log'!H5:H106&lt;&gt;""),'Transaction Log'!H5:H106),0)),0)</f>
        <v>0</v>
      </c>
      <c r="U20" s="40" t="str">
        <f t="shared" ca="1" si="9"/>
        <v>No Balance</v>
      </c>
      <c r="V20" s="11"/>
      <c r="W20" s="2"/>
    </row>
    <row r="21" spans="1:23" ht="18" customHeight="1">
      <c r="A21" s="7" t="s">
        <v>138</v>
      </c>
      <c r="B21" s="11"/>
      <c r="C21" s="11"/>
      <c r="D21" s="7"/>
      <c r="E21" s="38">
        <f t="shared" si="0"/>
        <v>0</v>
      </c>
      <c r="F21" s="39">
        <f t="shared" ca="1" si="1"/>
        <v>-46096</v>
      </c>
      <c r="G21" s="40" t="str">
        <f t="shared" ca="1" si="2"/>
        <v>UNLOCKED</v>
      </c>
      <c r="H21" s="41">
        <f>IFERROR(SUMIF('Transaction Log'!C5:C106,B21,'Transaction Log'!E5:E106),0)</f>
        <v>0</v>
      </c>
      <c r="I21" s="41">
        <f>IFERROR(SUMIF('Transaction Log'!C5:C106,B21,'Transaction Log'!F5:F106),0)</f>
        <v>0</v>
      </c>
      <c r="J21" s="10">
        <f t="shared" si="3"/>
        <v>0</v>
      </c>
      <c r="K21" s="42">
        <f>IFERROR(J21/(IFERROR(LOOKUP(2,1/('Transaction Log'!H5:H106&lt;&gt;""),'Transaction Log'!H5:H106),0)),0)</f>
        <v>0</v>
      </c>
      <c r="L21" s="41">
        <f>IFERROR(SUM(Positions!Q6:Q105),0)</f>
        <v>1183218559.9999971</v>
      </c>
      <c r="M21" s="10">
        <f t="shared" si="4"/>
        <v>0</v>
      </c>
      <c r="N21" s="11"/>
      <c r="O21" s="11"/>
      <c r="P21" s="42">
        <f t="shared" si="5"/>
        <v>0</v>
      </c>
      <c r="Q21" s="10">
        <f t="shared" si="6"/>
        <v>0</v>
      </c>
      <c r="R21" s="10" t="str">
        <f t="shared" si="7"/>
        <v/>
      </c>
      <c r="S21" s="10">
        <f t="shared" si="8"/>
        <v>0</v>
      </c>
      <c r="T21" s="42">
        <f>IFERROR(S21/(IFERROR(LOOKUP(2,1/('Transaction Log'!H5:H106&lt;&gt;""),'Transaction Log'!H5:H106),0)),0)</f>
        <v>0</v>
      </c>
      <c r="U21" s="40" t="str">
        <f t="shared" ca="1" si="9"/>
        <v>No Balance</v>
      </c>
      <c r="V21" s="11"/>
      <c r="W21" s="2"/>
    </row>
    <row r="22" spans="1:23" ht="18" customHeight="1">
      <c r="A22" s="7" t="s">
        <v>139</v>
      </c>
      <c r="B22" s="11"/>
      <c r="C22" s="11"/>
      <c r="D22" s="7"/>
      <c r="E22" s="38">
        <f t="shared" si="0"/>
        <v>0</v>
      </c>
      <c r="F22" s="39">
        <f t="shared" ca="1" si="1"/>
        <v>-46096</v>
      </c>
      <c r="G22" s="40" t="str">
        <f t="shared" ca="1" si="2"/>
        <v>UNLOCKED</v>
      </c>
      <c r="H22" s="41">
        <f>IFERROR(SUMIF('Transaction Log'!C5:C106,B22,'Transaction Log'!E5:E106),0)</f>
        <v>0</v>
      </c>
      <c r="I22" s="41">
        <f>IFERROR(SUMIF('Transaction Log'!C5:C106,B22,'Transaction Log'!F5:F106),0)</f>
        <v>0</v>
      </c>
      <c r="J22" s="10">
        <f t="shared" si="3"/>
        <v>0</v>
      </c>
      <c r="K22" s="42">
        <f>IFERROR(J22/(IFERROR(LOOKUP(2,1/('Transaction Log'!H5:H106&lt;&gt;""),'Transaction Log'!H5:H106),0)),0)</f>
        <v>0</v>
      </c>
      <c r="L22" s="41">
        <f>IFERROR(SUM(Positions!Q6:Q105),0)</f>
        <v>1183218559.9999971</v>
      </c>
      <c r="M22" s="10">
        <f t="shared" si="4"/>
        <v>0</v>
      </c>
      <c r="N22" s="11"/>
      <c r="O22" s="11"/>
      <c r="P22" s="42">
        <f t="shared" si="5"/>
        <v>0</v>
      </c>
      <c r="Q22" s="10">
        <f t="shared" si="6"/>
        <v>0</v>
      </c>
      <c r="R22" s="10" t="str">
        <f t="shared" si="7"/>
        <v/>
      </c>
      <c r="S22" s="10">
        <f t="shared" si="8"/>
        <v>0</v>
      </c>
      <c r="T22" s="42">
        <f>IFERROR(S22/(IFERROR(LOOKUP(2,1/('Transaction Log'!H5:H106&lt;&gt;""),'Transaction Log'!H5:H106),0)),0)</f>
        <v>0</v>
      </c>
      <c r="U22" s="40" t="str">
        <f t="shared" ca="1" si="9"/>
        <v>No Balance</v>
      </c>
      <c r="V22" s="11"/>
      <c r="W22" s="2"/>
    </row>
    <row r="23" spans="1:23" ht="18" customHeight="1">
      <c r="A23" s="7" t="s">
        <v>140</v>
      </c>
      <c r="B23" s="11"/>
      <c r="C23" s="11"/>
      <c r="D23" s="7"/>
      <c r="E23" s="38">
        <f t="shared" si="0"/>
        <v>0</v>
      </c>
      <c r="F23" s="39">
        <f t="shared" ca="1" si="1"/>
        <v>-46096</v>
      </c>
      <c r="G23" s="40" t="str">
        <f t="shared" ca="1" si="2"/>
        <v>UNLOCKED</v>
      </c>
      <c r="H23" s="41">
        <f>IFERROR(SUMIF('Transaction Log'!C5:C106,B23,'Transaction Log'!E5:E106),0)</f>
        <v>0</v>
      </c>
      <c r="I23" s="41">
        <f>IFERROR(SUMIF('Transaction Log'!C5:C106,B23,'Transaction Log'!F5:F106),0)</f>
        <v>0</v>
      </c>
      <c r="J23" s="10">
        <f t="shared" si="3"/>
        <v>0</v>
      </c>
      <c r="K23" s="42">
        <f>IFERROR(J23/(IFERROR(LOOKUP(2,1/('Transaction Log'!H5:H106&lt;&gt;""),'Transaction Log'!H5:H106),0)),0)</f>
        <v>0</v>
      </c>
      <c r="L23" s="41">
        <f>IFERROR(SUM(Positions!Q6:Q105),0)</f>
        <v>1183218559.9999971</v>
      </c>
      <c r="M23" s="10">
        <f t="shared" si="4"/>
        <v>0</v>
      </c>
      <c r="N23" s="11"/>
      <c r="O23" s="11"/>
      <c r="P23" s="42">
        <f t="shared" si="5"/>
        <v>0</v>
      </c>
      <c r="Q23" s="10">
        <f t="shared" si="6"/>
        <v>0</v>
      </c>
      <c r="R23" s="10" t="str">
        <f t="shared" si="7"/>
        <v/>
      </c>
      <c r="S23" s="10">
        <f t="shared" si="8"/>
        <v>0</v>
      </c>
      <c r="T23" s="42">
        <f>IFERROR(S23/(IFERROR(LOOKUP(2,1/('Transaction Log'!H5:H106&lt;&gt;""),'Transaction Log'!H5:H106),0)),0)</f>
        <v>0</v>
      </c>
      <c r="U23" s="40" t="str">
        <f t="shared" ca="1" si="9"/>
        <v>No Balance</v>
      </c>
      <c r="V23" s="11"/>
      <c r="W23" s="2"/>
    </row>
    <row r="24" spans="1:23" ht="18" customHeight="1">
      <c r="A24" s="7" t="s">
        <v>141</v>
      </c>
      <c r="B24" s="11"/>
      <c r="C24" s="11"/>
      <c r="D24" s="7"/>
      <c r="E24" s="38">
        <f t="shared" si="0"/>
        <v>0</v>
      </c>
      <c r="F24" s="39">
        <f t="shared" ca="1" si="1"/>
        <v>-46096</v>
      </c>
      <c r="G24" s="40" t="str">
        <f t="shared" ca="1" si="2"/>
        <v>UNLOCKED</v>
      </c>
      <c r="H24" s="41">
        <f>IFERROR(SUMIF('Transaction Log'!C5:C106,B24,'Transaction Log'!E5:E106),0)</f>
        <v>0</v>
      </c>
      <c r="I24" s="41">
        <f>IFERROR(SUMIF('Transaction Log'!C5:C106,B24,'Transaction Log'!F5:F106),0)</f>
        <v>0</v>
      </c>
      <c r="J24" s="10">
        <f t="shared" si="3"/>
        <v>0</v>
      </c>
      <c r="K24" s="42">
        <f>IFERROR(J24/(IFERROR(LOOKUP(2,1/('Transaction Log'!H5:H106&lt;&gt;""),'Transaction Log'!H5:H106),0)),0)</f>
        <v>0</v>
      </c>
      <c r="L24" s="41">
        <f>IFERROR(SUM(Positions!Q6:Q105),0)</f>
        <v>1183218559.9999971</v>
      </c>
      <c r="M24" s="10">
        <f t="shared" si="4"/>
        <v>0</v>
      </c>
      <c r="N24" s="11"/>
      <c r="O24" s="11"/>
      <c r="P24" s="42">
        <f t="shared" si="5"/>
        <v>0</v>
      </c>
      <c r="Q24" s="10">
        <f t="shared" si="6"/>
        <v>0</v>
      </c>
      <c r="R24" s="10" t="str">
        <f t="shared" si="7"/>
        <v/>
      </c>
      <c r="S24" s="10">
        <f t="shared" si="8"/>
        <v>0</v>
      </c>
      <c r="T24" s="42">
        <f>IFERROR(S24/(IFERROR(LOOKUP(2,1/('Transaction Log'!H5:H106&lt;&gt;""),'Transaction Log'!H5:H106),0)),0)</f>
        <v>0</v>
      </c>
      <c r="U24" s="40" t="str">
        <f t="shared" ca="1" si="9"/>
        <v>No Balance</v>
      </c>
      <c r="V24" s="11"/>
      <c r="W24" s="2"/>
    </row>
    <row r="25" spans="1:23" ht="18" customHeight="1">
      <c r="A25" s="7" t="s">
        <v>142</v>
      </c>
      <c r="B25" s="11"/>
      <c r="C25" s="11"/>
      <c r="D25" s="7"/>
      <c r="E25" s="38">
        <f t="shared" si="0"/>
        <v>0</v>
      </c>
      <c r="F25" s="39">
        <f t="shared" ca="1" si="1"/>
        <v>-46096</v>
      </c>
      <c r="G25" s="40" t="str">
        <f t="shared" ca="1" si="2"/>
        <v>UNLOCKED</v>
      </c>
      <c r="H25" s="41">
        <f>IFERROR(SUMIF('Transaction Log'!C5:C106,B25,'Transaction Log'!E5:E106),0)</f>
        <v>0</v>
      </c>
      <c r="I25" s="41">
        <f>IFERROR(SUMIF('Transaction Log'!C5:C106,B25,'Transaction Log'!F5:F106),0)</f>
        <v>0</v>
      </c>
      <c r="J25" s="10">
        <f t="shared" si="3"/>
        <v>0</v>
      </c>
      <c r="K25" s="42">
        <f>IFERROR(J25/(IFERROR(LOOKUP(2,1/('Transaction Log'!H5:H106&lt;&gt;""),'Transaction Log'!H5:H106),0)),0)</f>
        <v>0</v>
      </c>
      <c r="L25" s="41">
        <f>IFERROR(SUM(Positions!Q6:Q105),0)</f>
        <v>1183218559.9999971</v>
      </c>
      <c r="M25" s="10">
        <f t="shared" si="4"/>
        <v>0</v>
      </c>
      <c r="N25" s="11"/>
      <c r="O25" s="11"/>
      <c r="P25" s="42">
        <f t="shared" si="5"/>
        <v>0</v>
      </c>
      <c r="Q25" s="10">
        <f t="shared" si="6"/>
        <v>0</v>
      </c>
      <c r="R25" s="10" t="str">
        <f t="shared" si="7"/>
        <v/>
      </c>
      <c r="S25" s="10">
        <f t="shared" si="8"/>
        <v>0</v>
      </c>
      <c r="T25" s="42">
        <f>IFERROR(S25/(IFERROR(LOOKUP(2,1/('Transaction Log'!H5:H106&lt;&gt;""),'Transaction Log'!H5:H106),0)),0)</f>
        <v>0</v>
      </c>
      <c r="U25" s="40" t="str">
        <f t="shared" ca="1" si="9"/>
        <v>No Balance</v>
      </c>
      <c r="V25" s="11"/>
      <c r="W25" s="2"/>
    </row>
    <row r="26" spans="1:23" ht="18" customHeight="1">
      <c r="A26" s="7" t="s">
        <v>143</v>
      </c>
      <c r="B26" s="11"/>
      <c r="C26" s="11"/>
      <c r="D26" s="7"/>
      <c r="E26" s="38">
        <f t="shared" si="0"/>
        <v>0</v>
      </c>
      <c r="F26" s="39">
        <f t="shared" ca="1" si="1"/>
        <v>-46096</v>
      </c>
      <c r="G26" s="40" t="str">
        <f t="shared" ca="1" si="2"/>
        <v>UNLOCKED</v>
      </c>
      <c r="H26" s="41">
        <f>IFERROR(SUMIF('Transaction Log'!C5:C106,B26,'Transaction Log'!E5:E106),0)</f>
        <v>0</v>
      </c>
      <c r="I26" s="41">
        <f>IFERROR(SUMIF('Transaction Log'!C5:C106,B26,'Transaction Log'!F5:F106),0)</f>
        <v>0</v>
      </c>
      <c r="J26" s="10">
        <f t="shared" si="3"/>
        <v>0</v>
      </c>
      <c r="K26" s="42">
        <f>IFERROR(J26/(IFERROR(LOOKUP(2,1/('Transaction Log'!H5:H106&lt;&gt;""),'Transaction Log'!H5:H106),0)),0)</f>
        <v>0</v>
      </c>
      <c r="L26" s="41">
        <f>IFERROR(SUM(Positions!Q6:Q105),0)</f>
        <v>1183218559.9999971</v>
      </c>
      <c r="M26" s="10">
        <f t="shared" si="4"/>
        <v>0</v>
      </c>
      <c r="N26" s="11"/>
      <c r="O26" s="11"/>
      <c r="P26" s="42">
        <f t="shared" si="5"/>
        <v>0</v>
      </c>
      <c r="Q26" s="10">
        <f t="shared" si="6"/>
        <v>0</v>
      </c>
      <c r="R26" s="10" t="str">
        <f t="shared" si="7"/>
        <v/>
      </c>
      <c r="S26" s="10">
        <f t="shared" si="8"/>
        <v>0</v>
      </c>
      <c r="T26" s="42">
        <f>IFERROR(S26/(IFERROR(LOOKUP(2,1/('Transaction Log'!H5:H106&lt;&gt;""),'Transaction Log'!H5:H106),0)),0)</f>
        <v>0</v>
      </c>
      <c r="U26" s="40" t="str">
        <f t="shared" ca="1" si="9"/>
        <v>No Balance</v>
      </c>
      <c r="V26" s="11"/>
      <c r="W26" s="2"/>
    </row>
    <row r="27" spans="1:23" ht="18" customHeight="1">
      <c r="A27" s="7" t="s">
        <v>144</v>
      </c>
      <c r="B27" s="11"/>
      <c r="C27" s="11"/>
      <c r="D27" s="7"/>
      <c r="E27" s="38">
        <f t="shared" si="0"/>
        <v>0</v>
      </c>
      <c r="F27" s="39">
        <f t="shared" ca="1" si="1"/>
        <v>-46096</v>
      </c>
      <c r="G27" s="40" t="str">
        <f t="shared" ca="1" si="2"/>
        <v>UNLOCKED</v>
      </c>
      <c r="H27" s="41">
        <f>IFERROR(SUMIF('Transaction Log'!C5:C106,B27,'Transaction Log'!E5:E106),0)</f>
        <v>0</v>
      </c>
      <c r="I27" s="41">
        <f>IFERROR(SUMIF('Transaction Log'!C5:C106,B27,'Transaction Log'!F5:F106),0)</f>
        <v>0</v>
      </c>
      <c r="J27" s="10">
        <f t="shared" si="3"/>
        <v>0</v>
      </c>
      <c r="K27" s="42">
        <f>IFERROR(J27/(IFERROR(LOOKUP(2,1/('Transaction Log'!H5:H106&lt;&gt;""),'Transaction Log'!H5:H106),0)),0)</f>
        <v>0</v>
      </c>
      <c r="L27" s="41">
        <f>IFERROR(SUM(Positions!Q6:Q105),0)</f>
        <v>1183218559.9999971</v>
      </c>
      <c r="M27" s="10">
        <f t="shared" si="4"/>
        <v>0</v>
      </c>
      <c r="N27" s="11"/>
      <c r="O27" s="11"/>
      <c r="P27" s="42">
        <f t="shared" si="5"/>
        <v>0</v>
      </c>
      <c r="Q27" s="10">
        <f t="shared" si="6"/>
        <v>0</v>
      </c>
      <c r="R27" s="10" t="str">
        <f t="shared" si="7"/>
        <v/>
      </c>
      <c r="S27" s="10">
        <f t="shared" si="8"/>
        <v>0</v>
      </c>
      <c r="T27" s="42">
        <f>IFERROR(S27/(IFERROR(LOOKUP(2,1/('Transaction Log'!H5:H106&lt;&gt;""),'Transaction Log'!H5:H106),0)),0)</f>
        <v>0</v>
      </c>
      <c r="U27" s="40" t="str">
        <f t="shared" ca="1" si="9"/>
        <v>No Balance</v>
      </c>
      <c r="V27" s="11"/>
      <c r="W27" s="2"/>
    </row>
    <row r="28" spans="1:23" ht="18" customHeight="1">
      <c r="A28" s="7" t="s">
        <v>145</v>
      </c>
      <c r="B28" s="11"/>
      <c r="C28" s="11"/>
      <c r="D28" s="7"/>
      <c r="E28" s="38">
        <f t="shared" si="0"/>
        <v>0</v>
      </c>
      <c r="F28" s="39">
        <f t="shared" ca="1" si="1"/>
        <v>-46096</v>
      </c>
      <c r="G28" s="40" t="str">
        <f t="shared" ca="1" si="2"/>
        <v>UNLOCKED</v>
      </c>
      <c r="H28" s="41">
        <f>IFERROR(SUMIF('Transaction Log'!C5:C106,B28,'Transaction Log'!E5:E106),0)</f>
        <v>0</v>
      </c>
      <c r="I28" s="41">
        <f>IFERROR(SUMIF('Transaction Log'!C5:C106,B28,'Transaction Log'!F5:F106),0)</f>
        <v>0</v>
      </c>
      <c r="J28" s="10">
        <f t="shared" si="3"/>
        <v>0</v>
      </c>
      <c r="K28" s="42">
        <f>IFERROR(J28/(IFERROR(LOOKUP(2,1/('Transaction Log'!H5:H106&lt;&gt;""),'Transaction Log'!H5:H106),0)),0)</f>
        <v>0</v>
      </c>
      <c r="L28" s="41">
        <f>IFERROR(SUM(Positions!Q6:Q105),0)</f>
        <v>1183218559.9999971</v>
      </c>
      <c r="M28" s="10">
        <f t="shared" si="4"/>
        <v>0</v>
      </c>
      <c r="N28" s="11"/>
      <c r="O28" s="11"/>
      <c r="P28" s="42">
        <f t="shared" si="5"/>
        <v>0</v>
      </c>
      <c r="Q28" s="10">
        <f t="shared" si="6"/>
        <v>0</v>
      </c>
      <c r="R28" s="10" t="str">
        <f t="shared" si="7"/>
        <v/>
      </c>
      <c r="S28" s="10">
        <f t="shared" si="8"/>
        <v>0</v>
      </c>
      <c r="T28" s="42">
        <f>IFERROR(S28/(IFERROR(LOOKUP(2,1/('Transaction Log'!H5:H106&lt;&gt;""),'Transaction Log'!H5:H106),0)),0)</f>
        <v>0</v>
      </c>
      <c r="U28" s="40" t="str">
        <f t="shared" ca="1" si="9"/>
        <v>No Balance</v>
      </c>
      <c r="V28" s="11"/>
      <c r="W28" s="2"/>
    </row>
    <row r="29" spans="1:23" ht="18" customHeight="1">
      <c r="A29" s="7" t="s">
        <v>146</v>
      </c>
      <c r="B29" s="11"/>
      <c r="C29" s="11"/>
      <c r="D29" s="7"/>
      <c r="E29" s="38">
        <f t="shared" si="0"/>
        <v>0</v>
      </c>
      <c r="F29" s="39">
        <f t="shared" ca="1" si="1"/>
        <v>-46096</v>
      </c>
      <c r="G29" s="40" t="str">
        <f t="shared" ca="1" si="2"/>
        <v>UNLOCKED</v>
      </c>
      <c r="H29" s="41">
        <f>IFERROR(SUMIF('Transaction Log'!C5:C106,B29,'Transaction Log'!E5:E106),0)</f>
        <v>0</v>
      </c>
      <c r="I29" s="41">
        <f>IFERROR(SUMIF('Transaction Log'!C5:C106,B29,'Transaction Log'!F5:F106),0)</f>
        <v>0</v>
      </c>
      <c r="J29" s="10">
        <f t="shared" si="3"/>
        <v>0</v>
      </c>
      <c r="K29" s="42">
        <f>IFERROR(J29/(IFERROR(LOOKUP(2,1/('Transaction Log'!H5:H106&lt;&gt;""),'Transaction Log'!H5:H106),0)),0)</f>
        <v>0</v>
      </c>
      <c r="L29" s="41">
        <f>IFERROR(SUM(Positions!Q6:Q105),0)</f>
        <v>1183218559.9999971</v>
      </c>
      <c r="M29" s="10">
        <f t="shared" si="4"/>
        <v>0</v>
      </c>
      <c r="N29" s="11"/>
      <c r="O29" s="11"/>
      <c r="P29" s="42">
        <f t="shared" si="5"/>
        <v>0</v>
      </c>
      <c r="Q29" s="10">
        <f t="shared" si="6"/>
        <v>0</v>
      </c>
      <c r="R29" s="10" t="str">
        <f t="shared" si="7"/>
        <v/>
      </c>
      <c r="S29" s="10">
        <f t="shared" si="8"/>
        <v>0</v>
      </c>
      <c r="T29" s="42">
        <f>IFERROR(S29/(IFERROR(LOOKUP(2,1/('Transaction Log'!H5:H106&lt;&gt;""),'Transaction Log'!H5:H106),0)),0)</f>
        <v>0</v>
      </c>
      <c r="U29" s="40" t="str">
        <f t="shared" ca="1" si="9"/>
        <v>No Balance</v>
      </c>
      <c r="V29" s="11"/>
      <c r="W29" s="2"/>
    </row>
    <row r="30" spans="1:23" ht="18" customHeight="1">
      <c r="A30" s="7" t="s">
        <v>147</v>
      </c>
      <c r="B30" s="11"/>
      <c r="C30" s="11"/>
      <c r="D30" s="7"/>
      <c r="E30" s="38">
        <f t="shared" si="0"/>
        <v>0</v>
      </c>
      <c r="F30" s="39">
        <f t="shared" ca="1" si="1"/>
        <v>-46096</v>
      </c>
      <c r="G30" s="40" t="str">
        <f t="shared" ca="1" si="2"/>
        <v>UNLOCKED</v>
      </c>
      <c r="H30" s="41">
        <f>IFERROR(SUMIF('Transaction Log'!C5:C106,B30,'Transaction Log'!E5:E106),0)</f>
        <v>0</v>
      </c>
      <c r="I30" s="41">
        <f>IFERROR(SUMIF('Transaction Log'!C5:C106,B30,'Transaction Log'!F5:F106),0)</f>
        <v>0</v>
      </c>
      <c r="J30" s="10">
        <f t="shared" si="3"/>
        <v>0</v>
      </c>
      <c r="K30" s="42">
        <f>IFERROR(J30/(IFERROR(LOOKUP(2,1/('Transaction Log'!H5:H106&lt;&gt;""),'Transaction Log'!H5:H106),0)),0)</f>
        <v>0</v>
      </c>
      <c r="L30" s="41">
        <f>IFERROR(SUM(Positions!Q6:Q105),0)</f>
        <v>1183218559.9999971</v>
      </c>
      <c r="M30" s="10">
        <f t="shared" si="4"/>
        <v>0</v>
      </c>
      <c r="N30" s="11"/>
      <c r="O30" s="11"/>
      <c r="P30" s="42">
        <f t="shared" si="5"/>
        <v>0</v>
      </c>
      <c r="Q30" s="10">
        <f t="shared" si="6"/>
        <v>0</v>
      </c>
      <c r="R30" s="10" t="str">
        <f t="shared" si="7"/>
        <v/>
      </c>
      <c r="S30" s="10">
        <f t="shared" si="8"/>
        <v>0</v>
      </c>
      <c r="T30" s="42">
        <f>IFERROR(S30/(IFERROR(LOOKUP(2,1/('Transaction Log'!H5:H106&lt;&gt;""),'Transaction Log'!H5:H106),0)),0)</f>
        <v>0</v>
      </c>
      <c r="U30" s="40" t="str">
        <f t="shared" ca="1" si="9"/>
        <v>No Balance</v>
      </c>
      <c r="V30" s="11"/>
      <c r="W30" s="2"/>
    </row>
    <row r="31" spans="1:23" ht="18" customHeight="1">
      <c r="A31" s="7" t="s">
        <v>148</v>
      </c>
      <c r="B31" s="11"/>
      <c r="C31" s="11"/>
      <c r="D31" s="7"/>
      <c r="E31" s="38">
        <f t="shared" si="0"/>
        <v>0</v>
      </c>
      <c r="F31" s="39">
        <f t="shared" ca="1" si="1"/>
        <v>-46096</v>
      </c>
      <c r="G31" s="40" t="str">
        <f t="shared" ca="1" si="2"/>
        <v>UNLOCKED</v>
      </c>
      <c r="H31" s="41">
        <f>IFERROR(SUMIF('Transaction Log'!C5:C106,B31,'Transaction Log'!E5:E106),0)</f>
        <v>0</v>
      </c>
      <c r="I31" s="41">
        <f>IFERROR(SUMIF('Transaction Log'!C5:C106,B31,'Transaction Log'!F5:F106),0)</f>
        <v>0</v>
      </c>
      <c r="J31" s="10">
        <f t="shared" si="3"/>
        <v>0</v>
      </c>
      <c r="K31" s="42">
        <f>IFERROR(J31/(IFERROR(LOOKUP(2,1/('Transaction Log'!H5:H106&lt;&gt;""),'Transaction Log'!H5:H106),0)),0)</f>
        <v>0</v>
      </c>
      <c r="L31" s="41">
        <f>IFERROR(SUM(Positions!Q6:Q105),0)</f>
        <v>1183218559.9999971</v>
      </c>
      <c r="M31" s="10">
        <f t="shared" si="4"/>
        <v>0</v>
      </c>
      <c r="N31" s="11"/>
      <c r="O31" s="11"/>
      <c r="P31" s="42">
        <f t="shared" si="5"/>
        <v>0</v>
      </c>
      <c r="Q31" s="10">
        <f t="shared" si="6"/>
        <v>0</v>
      </c>
      <c r="R31" s="10" t="str">
        <f t="shared" si="7"/>
        <v/>
      </c>
      <c r="S31" s="10">
        <f t="shared" si="8"/>
        <v>0</v>
      </c>
      <c r="T31" s="42">
        <f>IFERROR(S31/(IFERROR(LOOKUP(2,1/('Transaction Log'!H5:H106&lt;&gt;""),'Transaction Log'!H5:H106),0)),0)</f>
        <v>0</v>
      </c>
      <c r="U31" s="40" t="str">
        <f t="shared" ca="1" si="9"/>
        <v>No Balance</v>
      </c>
      <c r="V31" s="11"/>
      <c r="W31" s="2"/>
    </row>
    <row r="32" spans="1:23" ht="18" customHeight="1">
      <c r="A32" s="7" t="s">
        <v>149</v>
      </c>
      <c r="B32" s="11"/>
      <c r="C32" s="11"/>
      <c r="D32" s="7"/>
      <c r="E32" s="38">
        <f t="shared" si="0"/>
        <v>0</v>
      </c>
      <c r="F32" s="39">
        <f t="shared" ca="1" si="1"/>
        <v>-46096</v>
      </c>
      <c r="G32" s="40" t="str">
        <f t="shared" ca="1" si="2"/>
        <v>UNLOCKED</v>
      </c>
      <c r="H32" s="41">
        <f>IFERROR(SUMIF('Transaction Log'!C5:C106,B32,'Transaction Log'!E5:E106),0)</f>
        <v>0</v>
      </c>
      <c r="I32" s="41">
        <f>IFERROR(SUMIF('Transaction Log'!C5:C106,B32,'Transaction Log'!F5:F106),0)</f>
        <v>0</v>
      </c>
      <c r="J32" s="10">
        <f t="shared" si="3"/>
        <v>0</v>
      </c>
      <c r="K32" s="42">
        <f>IFERROR(J32/(IFERROR(LOOKUP(2,1/('Transaction Log'!H5:H106&lt;&gt;""),'Transaction Log'!H5:H106),0)),0)</f>
        <v>0</v>
      </c>
      <c r="L32" s="41">
        <f>IFERROR(SUM(Positions!Q6:Q105),0)</f>
        <v>1183218559.9999971</v>
      </c>
      <c r="M32" s="10">
        <f t="shared" si="4"/>
        <v>0</v>
      </c>
      <c r="N32" s="11"/>
      <c r="O32" s="11"/>
      <c r="P32" s="42">
        <f t="shared" si="5"/>
        <v>0</v>
      </c>
      <c r="Q32" s="10">
        <f t="shared" si="6"/>
        <v>0</v>
      </c>
      <c r="R32" s="10" t="str">
        <f t="shared" si="7"/>
        <v/>
      </c>
      <c r="S32" s="10">
        <f t="shared" si="8"/>
        <v>0</v>
      </c>
      <c r="T32" s="42">
        <f>IFERROR(S32/(IFERROR(LOOKUP(2,1/('Transaction Log'!H5:H106&lt;&gt;""),'Transaction Log'!H5:H106),0)),0)</f>
        <v>0</v>
      </c>
      <c r="U32" s="40" t="str">
        <f t="shared" ca="1" si="9"/>
        <v>No Balance</v>
      </c>
      <c r="V32" s="11"/>
      <c r="W32" s="2"/>
    </row>
    <row r="33" spans="1:23" ht="18" customHeight="1">
      <c r="A33" s="7" t="s">
        <v>150</v>
      </c>
      <c r="B33" s="11"/>
      <c r="C33" s="11"/>
      <c r="D33" s="7"/>
      <c r="E33" s="38">
        <f t="shared" si="0"/>
        <v>0</v>
      </c>
      <c r="F33" s="39">
        <f t="shared" ca="1" si="1"/>
        <v>-46096</v>
      </c>
      <c r="G33" s="40" t="str">
        <f t="shared" ca="1" si="2"/>
        <v>UNLOCKED</v>
      </c>
      <c r="H33" s="41">
        <f>IFERROR(SUMIF('Transaction Log'!C5:C106,B33,'Transaction Log'!E5:E106),0)</f>
        <v>0</v>
      </c>
      <c r="I33" s="41">
        <f>IFERROR(SUMIF('Transaction Log'!C5:C106,B33,'Transaction Log'!F5:F106),0)</f>
        <v>0</v>
      </c>
      <c r="J33" s="10">
        <f t="shared" si="3"/>
        <v>0</v>
      </c>
      <c r="K33" s="42">
        <f>IFERROR(J33/(IFERROR(LOOKUP(2,1/('Transaction Log'!H5:H106&lt;&gt;""),'Transaction Log'!H5:H106),0)),0)</f>
        <v>0</v>
      </c>
      <c r="L33" s="41">
        <f>IFERROR(SUM(Positions!Q6:Q105),0)</f>
        <v>1183218559.9999971</v>
      </c>
      <c r="M33" s="10">
        <f t="shared" si="4"/>
        <v>0</v>
      </c>
      <c r="N33" s="11"/>
      <c r="O33" s="11"/>
      <c r="P33" s="42">
        <f t="shared" si="5"/>
        <v>0</v>
      </c>
      <c r="Q33" s="10">
        <f t="shared" si="6"/>
        <v>0</v>
      </c>
      <c r="R33" s="10" t="str">
        <f t="shared" si="7"/>
        <v/>
      </c>
      <c r="S33" s="10">
        <f t="shared" si="8"/>
        <v>0</v>
      </c>
      <c r="T33" s="42">
        <f>IFERROR(S33/(IFERROR(LOOKUP(2,1/('Transaction Log'!H5:H106&lt;&gt;""),'Transaction Log'!H5:H106),0)),0)</f>
        <v>0</v>
      </c>
      <c r="U33" s="40" t="str">
        <f t="shared" ca="1" si="9"/>
        <v>No Balance</v>
      </c>
      <c r="V33" s="11"/>
      <c r="W33" s="2"/>
    </row>
    <row r="34" spans="1:23" ht="18" customHeight="1">
      <c r="A34" s="7" t="s">
        <v>151</v>
      </c>
      <c r="B34" s="11"/>
      <c r="C34" s="11"/>
      <c r="D34" s="7"/>
      <c r="E34" s="38">
        <f t="shared" si="0"/>
        <v>0</v>
      </c>
      <c r="F34" s="39">
        <f t="shared" ca="1" si="1"/>
        <v>-46096</v>
      </c>
      <c r="G34" s="40" t="str">
        <f t="shared" ca="1" si="2"/>
        <v>UNLOCKED</v>
      </c>
      <c r="H34" s="41">
        <f>IFERROR(SUMIF('Transaction Log'!C5:C106,B34,'Transaction Log'!E5:E106),0)</f>
        <v>0</v>
      </c>
      <c r="I34" s="41">
        <f>IFERROR(SUMIF('Transaction Log'!C5:C106,B34,'Transaction Log'!F5:F106),0)</f>
        <v>0</v>
      </c>
      <c r="J34" s="10">
        <f t="shared" si="3"/>
        <v>0</v>
      </c>
      <c r="K34" s="42">
        <f>IFERROR(J34/(IFERROR(LOOKUP(2,1/('Transaction Log'!H5:H106&lt;&gt;""),'Transaction Log'!H5:H106),0)),0)</f>
        <v>0</v>
      </c>
      <c r="L34" s="41">
        <f>IFERROR(SUM(Positions!Q6:Q105),0)</f>
        <v>1183218559.9999971</v>
      </c>
      <c r="M34" s="10">
        <f t="shared" si="4"/>
        <v>0</v>
      </c>
      <c r="N34" s="11"/>
      <c r="O34" s="11"/>
      <c r="P34" s="42">
        <f t="shared" si="5"/>
        <v>0</v>
      </c>
      <c r="Q34" s="10">
        <f t="shared" si="6"/>
        <v>0</v>
      </c>
      <c r="R34" s="10" t="str">
        <f t="shared" si="7"/>
        <v/>
      </c>
      <c r="S34" s="10">
        <f t="shared" si="8"/>
        <v>0</v>
      </c>
      <c r="T34" s="42">
        <f>IFERROR(S34/(IFERROR(LOOKUP(2,1/('Transaction Log'!H5:H106&lt;&gt;""),'Transaction Log'!H5:H106),0)),0)</f>
        <v>0</v>
      </c>
      <c r="U34" s="40" t="str">
        <f t="shared" ca="1" si="9"/>
        <v>No Balance</v>
      </c>
      <c r="V34" s="11"/>
      <c r="W34" s="2"/>
    </row>
    <row r="35" spans="1:23" ht="18" customHeight="1">
      <c r="A35" s="7" t="s">
        <v>152</v>
      </c>
      <c r="B35" s="11"/>
      <c r="C35" s="11"/>
      <c r="D35" s="7"/>
      <c r="E35" s="38">
        <f t="shared" si="0"/>
        <v>0</v>
      </c>
      <c r="F35" s="39">
        <f t="shared" ca="1" si="1"/>
        <v>-46096</v>
      </c>
      <c r="G35" s="40" t="str">
        <f t="shared" ca="1" si="2"/>
        <v>UNLOCKED</v>
      </c>
      <c r="H35" s="41">
        <f>IFERROR(SUMIF('Transaction Log'!C5:C106,B35,'Transaction Log'!E5:E106),0)</f>
        <v>0</v>
      </c>
      <c r="I35" s="41">
        <f>IFERROR(SUMIF('Transaction Log'!C5:C106,B35,'Transaction Log'!F5:F106),0)</f>
        <v>0</v>
      </c>
      <c r="J35" s="10">
        <f t="shared" si="3"/>
        <v>0</v>
      </c>
      <c r="K35" s="42">
        <f>IFERROR(J35/(IFERROR(LOOKUP(2,1/('Transaction Log'!H5:H106&lt;&gt;""),'Transaction Log'!H5:H106),0)),0)</f>
        <v>0</v>
      </c>
      <c r="L35" s="41">
        <f>IFERROR(SUM(Positions!Q6:Q105),0)</f>
        <v>1183218559.9999971</v>
      </c>
      <c r="M35" s="10">
        <f t="shared" si="4"/>
        <v>0</v>
      </c>
      <c r="N35" s="11"/>
      <c r="O35" s="11"/>
      <c r="P35" s="42">
        <f t="shared" si="5"/>
        <v>0</v>
      </c>
      <c r="Q35" s="10">
        <f t="shared" si="6"/>
        <v>0</v>
      </c>
      <c r="R35" s="10" t="str">
        <f t="shared" si="7"/>
        <v/>
      </c>
      <c r="S35" s="10">
        <f t="shared" si="8"/>
        <v>0</v>
      </c>
      <c r="T35" s="42">
        <f>IFERROR(S35/(IFERROR(LOOKUP(2,1/('Transaction Log'!H5:H106&lt;&gt;""),'Transaction Log'!H5:H106),0)),0)</f>
        <v>0</v>
      </c>
      <c r="U35" s="40" t="str">
        <f t="shared" ca="1" si="9"/>
        <v>No Balance</v>
      </c>
      <c r="V35" s="11"/>
      <c r="W35" s="2"/>
    </row>
    <row r="36" spans="1:23" ht="18" customHeight="1">
      <c r="A36" s="7" t="s">
        <v>153</v>
      </c>
      <c r="B36" s="11"/>
      <c r="C36" s="11"/>
      <c r="D36" s="7"/>
      <c r="E36" s="38">
        <f t="shared" si="0"/>
        <v>0</v>
      </c>
      <c r="F36" s="39">
        <f t="shared" ca="1" si="1"/>
        <v>-46096</v>
      </c>
      <c r="G36" s="40" t="str">
        <f t="shared" ca="1" si="2"/>
        <v>UNLOCKED</v>
      </c>
      <c r="H36" s="41">
        <f>IFERROR(SUMIF('Transaction Log'!C5:C106,B36,'Transaction Log'!E5:E106),0)</f>
        <v>0</v>
      </c>
      <c r="I36" s="41">
        <f>IFERROR(SUMIF('Transaction Log'!C5:C106,B36,'Transaction Log'!F5:F106),0)</f>
        <v>0</v>
      </c>
      <c r="J36" s="10">
        <f t="shared" si="3"/>
        <v>0</v>
      </c>
      <c r="K36" s="42">
        <f>IFERROR(J36/(IFERROR(LOOKUP(2,1/('Transaction Log'!H5:H106&lt;&gt;""),'Transaction Log'!H5:H106),0)),0)</f>
        <v>0</v>
      </c>
      <c r="L36" s="41">
        <f>IFERROR(SUM(Positions!Q6:Q105),0)</f>
        <v>1183218559.9999971</v>
      </c>
      <c r="M36" s="10">
        <f t="shared" si="4"/>
        <v>0</v>
      </c>
      <c r="N36" s="11"/>
      <c r="O36" s="11"/>
      <c r="P36" s="42">
        <f t="shared" si="5"/>
        <v>0</v>
      </c>
      <c r="Q36" s="10">
        <f t="shared" si="6"/>
        <v>0</v>
      </c>
      <c r="R36" s="10" t="str">
        <f t="shared" si="7"/>
        <v/>
      </c>
      <c r="S36" s="10">
        <f t="shared" si="8"/>
        <v>0</v>
      </c>
      <c r="T36" s="42">
        <f>IFERROR(S36/(IFERROR(LOOKUP(2,1/('Transaction Log'!H5:H106&lt;&gt;""),'Transaction Log'!H5:H106),0)),0)</f>
        <v>0</v>
      </c>
      <c r="U36" s="40" t="str">
        <f t="shared" ca="1" si="9"/>
        <v>No Balance</v>
      </c>
      <c r="V36" s="11"/>
      <c r="W36" s="2"/>
    </row>
    <row r="37" spans="1:23" ht="18" customHeight="1">
      <c r="A37" s="7" t="s">
        <v>154</v>
      </c>
      <c r="B37" s="11"/>
      <c r="C37" s="11"/>
      <c r="D37" s="7"/>
      <c r="E37" s="38">
        <f t="shared" si="0"/>
        <v>0</v>
      </c>
      <c r="F37" s="39">
        <f t="shared" ca="1" si="1"/>
        <v>-46096</v>
      </c>
      <c r="G37" s="40" t="str">
        <f t="shared" ca="1" si="2"/>
        <v>UNLOCKED</v>
      </c>
      <c r="H37" s="41">
        <f>IFERROR(SUMIF('Transaction Log'!C5:C106,B37,'Transaction Log'!E5:E106),0)</f>
        <v>0</v>
      </c>
      <c r="I37" s="41">
        <f>IFERROR(SUMIF('Transaction Log'!C5:C106,B37,'Transaction Log'!F5:F106),0)</f>
        <v>0</v>
      </c>
      <c r="J37" s="10">
        <f t="shared" si="3"/>
        <v>0</v>
      </c>
      <c r="K37" s="42">
        <f>IFERROR(J37/(IFERROR(LOOKUP(2,1/('Transaction Log'!H5:H106&lt;&gt;""),'Transaction Log'!H5:H106),0)),0)</f>
        <v>0</v>
      </c>
      <c r="L37" s="41">
        <f>IFERROR(SUM(Positions!Q6:Q105),0)</f>
        <v>1183218559.9999971</v>
      </c>
      <c r="M37" s="10">
        <f t="shared" si="4"/>
        <v>0</v>
      </c>
      <c r="N37" s="11"/>
      <c r="O37" s="11"/>
      <c r="P37" s="42">
        <f t="shared" si="5"/>
        <v>0</v>
      </c>
      <c r="Q37" s="10">
        <f t="shared" si="6"/>
        <v>0</v>
      </c>
      <c r="R37" s="10" t="str">
        <f t="shared" si="7"/>
        <v/>
      </c>
      <c r="S37" s="10">
        <f t="shared" si="8"/>
        <v>0</v>
      </c>
      <c r="T37" s="42">
        <f>IFERROR(S37/(IFERROR(LOOKUP(2,1/('Transaction Log'!H5:H106&lt;&gt;""),'Transaction Log'!H5:H106),0)),0)</f>
        <v>0</v>
      </c>
      <c r="U37" s="40" t="str">
        <f t="shared" ca="1" si="9"/>
        <v>No Balance</v>
      </c>
      <c r="V37" s="11"/>
      <c r="W37" s="2"/>
    </row>
    <row r="38" spans="1:23" ht="18" customHeight="1">
      <c r="A38" s="7" t="s">
        <v>155</v>
      </c>
      <c r="B38" s="11"/>
      <c r="C38" s="11"/>
      <c r="D38" s="7"/>
      <c r="E38" s="38">
        <f t="shared" si="0"/>
        <v>0</v>
      </c>
      <c r="F38" s="39">
        <f t="shared" ca="1" si="1"/>
        <v>-46096</v>
      </c>
      <c r="G38" s="40" t="str">
        <f t="shared" ca="1" si="2"/>
        <v>UNLOCKED</v>
      </c>
      <c r="H38" s="41">
        <f>IFERROR(SUMIF('Transaction Log'!C5:C106,B38,'Transaction Log'!E5:E106),0)</f>
        <v>0</v>
      </c>
      <c r="I38" s="41">
        <f>IFERROR(SUMIF('Transaction Log'!C5:C106,B38,'Transaction Log'!F5:F106),0)</f>
        <v>0</v>
      </c>
      <c r="J38" s="10">
        <f t="shared" si="3"/>
        <v>0</v>
      </c>
      <c r="K38" s="42">
        <f>IFERROR(J38/(IFERROR(LOOKUP(2,1/('Transaction Log'!H5:H106&lt;&gt;""),'Transaction Log'!H5:H106),0)),0)</f>
        <v>0</v>
      </c>
      <c r="L38" s="41">
        <f>IFERROR(SUM(Positions!Q6:Q105),0)</f>
        <v>1183218559.9999971</v>
      </c>
      <c r="M38" s="10">
        <f t="shared" si="4"/>
        <v>0</v>
      </c>
      <c r="N38" s="11"/>
      <c r="O38" s="11"/>
      <c r="P38" s="42">
        <f t="shared" si="5"/>
        <v>0</v>
      </c>
      <c r="Q38" s="10">
        <f t="shared" si="6"/>
        <v>0</v>
      </c>
      <c r="R38" s="10" t="str">
        <f t="shared" si="7"/>
        <v/>
      </c>
      <c r="S38" s="10">
        <f t="shared" si="8"/>
        <v>0</v>
      </c>
      <c r="T38" s="42">
        <f>IFERROR(S38/(IFERROR(LOOKUP(2,1/('Transaction Log'!H5:H106&lt;&gt;""),'Transaction Log'!H5:H106),0)),0)</f>
        <v>0</v>
      </c>
      <c r="U38" s="40" t="str">
        <f t="shared" ca="1" si="9"/>
        <v>No Balance</v>
      </c>
      <c r="V38" s="11"/>
      <c r="W38" s="2"/>
    </row>
    <row r="39" spans="1:23" ht="18" customHeight="1">
      <c r="A39" s="7" t="s">
        <v>156</v>
      </c>
      <c r="B39" s="11"/>
      <c r="C39" s="11"/>
      <c r="D39" s="7"/>
      <c r="E39" s="38">
        <f t="shared" si="0"/>
        <v>0</v>
      </c>
      <c r="F39" s="39">
        <f t="shared" ca="1" si="1"/>
        <v>-46096</v>
      </c>
      <c r="G39" s="40" t="str">
        <f t="shared" ca="1" si="2"/>
        <v>UNLOCKED</v>
      </c>
      <c r="H39" s="41">
        <f>IFERROR(SUMIF('Transaction Log'!C5:C106,B39,'Transaction Log'!E5:E106),0)</f>
        <v>0</v>
      </c>
      <c r="I39" s="41">
        <f>IFERROR(SUMIF('Transaction Log'!C5:C106,B39,'Transaction Log'!F5:F106),0)</f>
        <v>0</v>
      </c>
      <c r="J39" s="10">
        <f t="shared" si="3"/>
        <v>0</v>
      </c>
      <c r="K39" s="42">
        <f>IFERROR(J39/(IFERROR(LOOKUP(2,1/('Transaction Log'!H5:H106&lt;&gt;""),'Transaction Log'!H5:H106),0)),0)</f>
        <v>0</v>
      </c>
      <c r="L39" s="41">
        <f>IFERROR(SUM(Positions!Q6:Q105),0)</f>
        <v>1183218559.9999971</v>
      </c>
      <c r="M39" s="10">
        <f t="shared" si="4"/>
        <v>0</v>
      </c>
      <c r="N39" s="11"/>
      <c r="O39" s="11"/>
      <c r="P39" s="42">
        <f t="shared" si="5"/>
        <v>0</v>
      </c>
      <c r="Q39" s="10">
        <f t="shared" si="6"/>
        <v>0</v>
      </c>
      <c r="R39" s="10" t="str">
        <f t="shared" si="7"/>
        <v/>
      </c>
      <c r="S39" s="10">
        <f t="shared" si="8"/>
        <v>0</v>
      </c>
      <c r="T39" s="42">
        <f>IFERROR(S39/(IFERROR(LOOKUP(2,1/('Transaction Log'!H5:H106&lt;&gt;""),'Transaction Log'!H5:H106),0)),0)</f>
        <v>0</v>
      </c>
      <c r="U39" s="40" t="str">
        <f t="shared" ca="1" si="9"/>
        <v>No Balance</v>
      </c>
      <c r="V39" s="11"/>
      <c r="W39" s="2"/>
    </row>
    <row r="40" spans="1:23" ht="18" customHeight="1">
      <c r="A40" s="7" t="s">
        <v>157</v>
      </c>
      <c r="B40" s="11"/>
      <c r="C40" s="11"/>
      <c r="D40" s="7"/>
      <c r="E40" s="38">
        <f t="shared" si="0"/>
        <v>0</v>
      </c>
      <c r="F40" s="39">
        <f t="shared" ca="1" si="1"/>
        <v>-46096</v>
      </c>
      <c r="G40" s="40" t="str">
        <f t="shared" ca="1" si="2"/>
        <v>UNLOCKED</v>
      </c>
      <c r="H40" s="41">
        <f>IFERROR(SUMIF('Transaction Log'!C5:C106,B40,'Transaction Log'!E5:E106),0)</f>
        <v>0</v>
      </c>
      <c r="I40" s="41">
        <f>IFERROR(SUMIF('Transaction Log'!C5:C106,B40,'Transaction Log'!F5:F106),0)</f>
        <v>0</v>
      </c>
      <c r="J40" s="10">
        <f t="shared" si="3"/>
        <v>0</v>
      </c>
      <c r="K40" s="42">
        <f>IFERROR(J40/(IFERROR(LOOKUP(2,1/('Transaction Log'!H5:H106&lt;&gt;""),'Transaction Log'!H5:H106),0)),0)</f>
        <v>0</v>
      </c>
      <c r="L40" s="41">
        <f>IFERROR(SUM(Positions!Q6:Q105),0)</f>
        <v>1183218559.9999971</v>
      </c>
      <c r="M40" s="10">
        <f t="shared" si="4"/>
        <v>0</v>
      </c>
      <c r="N40" s="11"/>
      <c r="O40" s="11"/>
      <c r="P40" s="42">
        <f t="shared" si="5"/>
        <v>0</v>
      </c>
      <c r="Q40" s="10">
        <f t="shared" si="6"/>
        <v>0</v>
      </c>
      <c r="R40" s="10" t="str">
        <f t="shared" si="7"/>
        <v/>
      </c>
      <c r="S40" s="10">
        <f t="shared" si="8"/>
        <v>0</v>
      </c>
      <c r="T40" s="42">
        <f>IFERROR(S40/(IFERROR(LOOKUP(2,1/('Transaction Log'!H5:H106&lt;&gt;""),'Transaction Log'!H5:H106),0)),0)</f>
        <v>0</v>
      </c>
      <c r="U40" s="40" t="str">
        <f t="shared" ca="1" si="9"/>
        <v>No Balance</v>
      </c>
      <c r="V40" s="11"/>
      <c r="W40" s="2"/>
    </row>
    <row r="41" spans="1:23" ht="18" customHeight="1">
      <c r="A41" s="7" t="s">
        <v>158</v>
      </c>
      <c r="B41" s="11"/>
      <c r="C41" s="11"/>
      <c r="D41" s="7"/>
      <c r="E41" s="38">
        <f t="shared" si="0"/>
        <v>0</v>
      </c>
      <c r="F41" s="39">
        <f t="shared" ca="1" si="1"/>
        <v>-46096</v>
      </c>
      <c r="G41" s="40" t="str">
        <f t="shared" ca="1" si="2"/>
        <v>UNLOCKED</v>
      </c>
      <c r="H41" s="41">
        <f>IFERROR(SUMIF('Transaction Log'!C5:C106,B41,'Transaction Log'!E5:E106),0)</f>
        <v>0</v>
      </c>
      <c r="I41" s="41">
        <f>IFERROR(SUMIF('Transaction Log'!C5:C106,B41,'Transaction Log'!F5:F106),0)</f>
        <v>0</v>
      </c>
      <c r="J41" s="10">
        <f t="shared" si="3"/>
        <v>0</v>
      </c>
      <c r="K41" s="42">
        <f>IFERROR(J41/(IFERROR(LOOKUP(2,1/('Transaction Log'!H5:H106&lt;&gt;""),'Transaction Log'!H5:H106),0)),0)</f>
        <v>0</v>
      </c>
      <c r="L41" s="41">
        <f>IFERROR(SUM(Positions!Q6:Q105),0)</f>
        <v>1183218559.9999971</v>
      </c>
      <c r="M41" s="10">
        <f t="shared" si="4"/>
        <v>0</v>
      </c>
      <c r="N41" s="11"/>
      <c r="O41" s="11"/>
      <c r="P41" s="42">
        <f t="shared" si="5"/>
        <v>0</v>
      </c>
      <c r="Q41" s="10">
        <f t="shared" si="6"/>
        <v>0</v>
      </c>
      <c r="R41" s="10" t="str">
        <f t="shared" si="7"/>
        <v/>
      </c>
      <c r="S41" s="10">
        <f t="shared" si="8"/>
        <v>0</v>
      </c>
      <c r="T41" s="42">
        <f>IFERROR(S41/(IFERROR(LOOKUP(2,1/('Transaction Log'!H5:H106&lt;&gt;""),'Transaction Log'!H5:H106),0)),0)</f>
        <v>0</v>
      </c>
      <c r="U41" s="40" t="str">
        <f t="shared" ca="1" si="9"/>
        <v>No Balance</v>
      </c>
      <c r="V41" s="11"/>
      <c r="W41" s="2"/>
    </row>
    <row r="42" spans="1:23" ht="18" customHeight="1">
      <c r="A42" s="7" t="s">
        <v>159</v>
      </c>
      <c r="B42" s="11"/>
      <c r="C42" s="11"/>
      <c r="D42" s="7"/>
      <c r="E42" s="38">
        <f t="shared" si="0"/>
        <v>0</v>
      </c>
      <c r="F42" s="39">
        <f t="shared" ca="1" si="1"/>
        <v>-46096</v>
      </c>
      <c r="G42" s="40" t="str">
        <f t="shared" ca="1" si="2"/>
        <v>UNLOCKED</v>
      </c>
      <c r="H42" s="41">
        <f>IFERROR(SUMIF('Transaction Log'!C5:C106,B42,'Transaction Log'!E5:E106),0)</f>
        <v>0</v>
      </c>
      <c r="I42" s="41">
        <f>IFERROR(SUMIF('Transaction Log'!C5:C106,B42,'Transaction Log'!F5:F106),0)</f>
        <v>0</v>
      </c>
      <c r="J42" s="10">
        <f t="shared" si="3"/>
        <v>0</v>
      </c>
      <c r="K42" s="42">
        <f>IFERROR(J42/(IFERROR(LOOKUP(2,1/('Transaction Log'!H5:H106&lt;&gt;""),'Transaction Log'!H5:H106),0)),0)</f>
        <v>0</v>
      </c>
      <c r="L42" s="41">
        <f>IFERROR(SUM(Positions!Q6:Q105),0)</f>
        <v>1183218559.9999971</v>
      </c>
      <c r="M42" s="10">
        <f t="shared" si="4"/>
        <v>0</v>
      </c>
      <c r="N42" s="11"/>
      <c r="O42" s="11"/>
      <c r="P42" s="42">
        <f t="shared" si="5"/>
        <v>0</v>
      </c>
      <c r="Q42" s="10">
        <f t="shared" si="6"/>
        <v>0</v>
      </c>
      <c r="R42" s="10" t="str">
        <f t="shared" si="7"/>
        <v/>
      </c>
      <c r="S42" s="10">
        <f t="shared" si="8"/>
        <v>0</v>
      </c>
      <c r="T42" s="42">
        <f>IFERROR(S42/(IFERROR(LOOKUP(2,1/('Transaction Log'!H5:H106&lt;&gt;""),'Transaction Log'!H5:H106),0)),0)</f>
        <v>0</v>
      </c>
      <c r="U42" s="40" t="str">
        <f t="shared" ca="1" si="9"/>
        <v>No Balance</v>
      </c>
      <c r="V42" s="11"/>
      <c r="W42" s="2"/>
    </row>
    <row r="43" spans="1:23" ht="18" customHeight="1">
      <c r="A43" s="7" t="s">
        <v>160</v>
      </c>
      <c r="B43" s="11"/>
      <c r="C43" s="11"/>
      <c r="D43" s="7"/>
      <c r="E43" s="38">
        <f t="shared" si="0"/>
        <v>0</v>
      </c>
      <c r="F43" s="39">
        <f t="shared" ca="1" si="1"/>
        <v>-46096</v>
      </c>
      <c r="G43" s="40" t="str">
        <f t="shared" ca="1" si="2"/>
        <v>UNLOCKED</v>
      </c>
      <c r="H43" s="41">
        <f>IFERROR(SUMIF('Transaction Log'!C5:C106,B43,'Transaction Log'!E5:E106),0)</f>
        <v>0</v>
      </c>
      <c r="I43" s="41">
        <f>IFERROR(SUMIF('Transaction Log'!C5:C106,B43,'Transaction Log'!F5:F106),0)</f>
        <v>0</v>
      </c>
      <c r="J43" s="10">
        <f t="shared" si="3"/>
        <v>0</v>
      </c>
      <c r="K43" s="42">
        <f>IFERROR(J43/(IFERROR(LOOKUP(2,1/('Transaction Log'!H5:H106&lt;&gt;""),'Transaction Log'!H5:H106),0)),0)</f>
        <v>0</v>
      </c>
      <c r="L43" s="41">
        <f>IFERROR(SUM(Positions!Q6:Q105),0)</f>
        <v>1183218559.9999971</v>
      </c>
      <c r="M43" s="10">
        <f t="shared" si="4"/>
        <v>0</v>
      </c>
      <c r="N43" s="11"/>
      <c r="O43" s="11"/>
      <c r="P43" s="42">
        <f t="shared" si="5"/>
        <v>0</v>
      </c>
      <c r="Q43" s="10">
        <f t="shared" si="6"/>
        <v>0</v>
      </c>
      <c r="R43" s="10" t="str">
        <f t="shared" si="7"/>
        <v/>
      </c>
      <c r="S43" s="10">
        <f t="shared" si="8"/>
        <v>0</v>
      </c>
      <c r="T43" s="42">
        <f>IFERROR(S43/(IFERROR(LOOKUP(2,1/('Transaction Log'!H5:H106&lt;&gt;""),'Transaction Log'!H5:H106),0)),0)</f>
        <v>0</v>
      </c>
      <c r="U43" s="40" t="str">
        <f t="shared" ca="1" si="9"/>
        <v>No Balance</v>
      </c>
      <c r="V43" s="11"/>
      <c r="W43" s="2"/>
    </row>
    <row r="44" spans="1:23" ht="18" customHeight="1">
      <c r="A44" s="7" t="s">
        <v>161</v>
      </c>
      <c r="B44" s="11"/>
      <c r="C44" s="11"/>
      <c r="D44" s="7"/>
      <c r="E44" s="38">
        <f t="shared" si="0"/>
        <v>0</v>
      </c>
      <c r="F44" s="39">
        <f t="shared" ca="1" si="1"/>
        <v>-46096</v>
      </c>
      <c r="G44" s="40" t="str">
        <f t="shared" ca="1" si="2"/>
        <v>UNLOCKED</v>
      </c>
      <c r="H44" s="41">
        <f>IFERROR(SUMIF('Transaction Log'!C5:C106,B44,'Transaction Log'!E5:E106),0)</f>
        <v>0</v>
      </c>
      <c r="I44" s="41">
        <f>IFERROR(SUMIF('Transaction Log'!C5:C106,B44,'Transaction Log'!F5:F106),0)</f>
        <v>0</v>
      </c>
      <c r="J44" s="10">
        <f t="shared" si="3"/>
        <v>0</v>
      </c>
      <c r="K44" s="42">
        <f>IFERROR(J44/(IFERROR(LOOKUP(2,1/('Transaction Log'!H5:H106&lt;&gt;""),'Transaction Log'!H5:H106),0)),0)</f>
        <v>0</v>
      </c>
      <c r="L44" s="41">
        <f>IFERROR(SUM(Positions!Q6:Q105),0)</f>
        <v>1183218559.9999971</v>
      </c>
      <c r="M44" s="10">
        <f t="shared" si="4"/>
        <v>0</v>
      </c>
      <c r="N44" s="11"/>
      <c r="O44" s="11"/>
      <c r="P44" s="42">
        <f t="shared" si="5"/>
        <v>0</v>
      </c>
      <c r="Q44" s="10">
        <f t="shared" si="6"/>
        <v>0</v>
      </c>
      <c r="R44" s="10" t="str">
        <f t="shared" si="7"/>
        <v/>
      </c>
      <c r="S44" s="10">
        <f t="shared" si="8"/>
        <v>0</v>
      </c>
      <c r="T44" s="42">
        <f>IFERROR(S44/(IFERROR(LOOKUP(2,1/('Transaction Log'!H5:H106&lt;&gt;""),'Transaction Log'!H5:H106),0)),0)</f>
        <v>0</v>
      </c>
      <c r="U44" s="40" t="str">
        <f t="shared" ca="1" si="9"/>
        <v>No Balance</v>
      </c>
      <c r="V44" s="11"/>
      <c r="W44" s="2"/>
    </row>
    <row r="45" spans="1:23" ht="18" customHeight="1">
      <c r="A45" s="7" t="s">
        <v>162</v>
      </c>
      <c r="B45" s="11"/>
      <c r="C45" s="11"/>
      <c r="D45" s="7"/>
      <c r="E45" s="38">
        <f t="shared" si="0"/>
        <v>0</v>
      </c>
      <c r="F45" s="39">
        <f t="shared" ca="1" si="1"/>
        <v>-46096</v>
      </c>
      <c r="G45" s="40" t="str">
        <f t="shared" ca="1" si="2"/>
        <v>UNLOCKED</v>
      </c>
      <c r="H45" s="41">
        <f>IFERROR(SUMIF('Transaction Log'!C5:C106,B45,'Transaction Log'!E5:E106),0)</f>
        <v>0</v>
      </c>
      <c r="I45" s="41">
        <f>IFERROR(SUMIF('Transaction Log'!C5:C106,B45,'Transaction Log'!F5:F106),0)</f>
        <v>0</v>
      </c>
      <c r="J45" s="10">
        <f t="shared" si="3"/>
        <v>0</v>
      </c>
      <c r="K45" s="42">
        <f>IFERROR(J45/(IFERROR(LOOKUP(2,1/('Transaction Log'!H5:H106&lt;&gt;""),'Transaction Log'!H5:H106),0)),0)</f>
        <v>0</v>
      </c>
      <c r="L45" s="41">
        <f>IFERROR(SUM(Positions!Q6:Q105),0)</f>
        <v>1183218559.9999971</v>
      </c>
      <c r="M45" s="10">
        <f t="shared" si="4"/>
        <v>0</v>
      </c>
      <c r="N45" s="11"/>
      <c r="O45" s="11"/>
      <c r="P45" s="42">
        <f t="shared" si="5"/>
        <v>0</v>
      </c>
      <c r="Q45" s="10">
        <f t="shared" si="6"/>
        <v>0</v>
      </c>
      <c r="R45" s="10" t="str">
        <f t="shared" si="7"/>
        <v/>
      </c>
      <c r="S45" s="10">
        <f t="shared" si="8"/>
        <v>0</v>
      </c>
      <c r="T45" s="42">
        <f>IFERROR(S45/(IFERROR(LOOKUP(2,1/('Transaction Log'!H5:H106&lt;&gt;""),'Transaction Log'!H5:H106),0)),0)</f>
        <v>0</v>
      </c>
      <c r="U45" s="40" t="str">
        <f t="shared" ca="1" si="9"/>
        <v>No Balance</v>
      </c>
      <c r="V45" s="11"/>
      <c r="W45" s="2"/>
    </row>
    <row r="46" spans="1:23" ht="18" customHeight="1">
      <c r="A46" s="7" t="s">
        <v>163</v>
      </c>
      <c r="B46" s="11"/>
      <c r="C46" s="11"/>
      <c r="D46" s="7"/>
      <c r="E46" s="38">
        <f t="shared" si="0"/>
        <v>0</v>
      </c>
      <c r="F46" s="39">
        <f t="shared" ca="1" si="1"/>
        <v>-46096</v>
      </c>
      <c r="G46" s="40" t="str">
        <f t="shared" ca="1" si="2"/>
        <v>UNLOCKED</v>
      </c>
      <c r="H46" s="41">
        <f>IFERROR(SUMIF('Transaction Log'!C5:C106,B46,'Transaction Log'!E5:E106),0)</f>
        <v>0</v>
      </c>
      <c r="I46" s="41">
        <f>IFERROR(SUMIF('Transaction Log'!C5:C106,B46,'Transaction Log'!F5:F106),0)</f>
        <v>0</v>
      </c>
      <c r="J46" s="10">
        <f t="shared" si="3"/>
        <v>0</v>
      </c>
      <c r="K46" s="42">
        <f>IFERROR(J46/(IFERROR(LOOKUP(2,1/('Transaction Log'!H5:H106&lt;&gt;""),'Transaction Log'!H5:H106),0)),0)</f>
        <v>0</v>
      </c>
      <c r="L46" s="41">
        <f>IFERROR(SUM(Positions!Q6:Q105),0)</f>
        <v>1183218559.9999971</v>
      </c>
      <c r="M46" s="10">
        <f t="shared" si="4"/>
        <v>0</v>
      </c>
      <c r="N46" s="11"/>
      <c r="O46" s="11"/>
      <c r="P46" s="42">
        <f t="shared" si="5"/>
        <v>0</v>
      </c>
      <c r="Q46" s="10">
        <f t="shared" si="6"/>
        <v>0</v>
      </c>
      <c r="R46" s="10" t="str">
        <f t="shared" si="7"/>
        <v/>
      </c>
      <c r="S46" s="10">
        <f t="shared" si="8"/>
        <v>0</v>
      </c>
      <c r="T46" s="42">
        <f>IFERROR(S46/(IFERROR(LOOKUP(2,1/('Transaction Log'!H5:H106&lt;&gt;""),'Transaction Log'!H5:H106),0)),0)</f>
        <v>0</v>
      </c>
      <c r="U46" s="40" t="str">
        <f t="shared" ca="1" si="9"/>
        <v>No Balance</v>
      </c>
      <c r="V46" s="11"/>
      <c r="W46" s="2"/>
    </row>
    <row r="47" spans="1:23" ht="18" customHeight="1">
      <c r="A47" s="7" t="s">
        <v>164</v>
      </c>
      <c r="B47" s="11"/>
      <c r="C47" s="11"/>
      <c r="D47" s="7"/>
      <c r="E47" s="38">
        <f t="shared" si="0"/>
        <v>0</v>
      </c>
      <c r="F47" s="39">
        <f t="shared" ca="1" si="1"/>
        <v>-46096</v>
      </c>
      <c r="G47" s="40" t="str">
        <f t="shared" ca="1" si="2"/>
        <v>UNLOCKED</v>
      </c>
      <c r="H47" s="41">
        <f>IFERROR(SUMIF('Transaction Log'!C5:C106,B47,'Transaction Log'!E5:E106),0)</f>
        <v>0</v>
      </c>
      <c r="I47" s="41">
        <f>IFERROR(SUMIF('Transaction Log'!C5:C106,B47,'Transaction Log'!F5:F106),0)</f>
        <v>0</v>
      </c>
      <c r="J47" s="10">
        <f t="shared" si="3"/>
        <v>0</v>
      </c>
      <c r="K47" s="42">
        <f>IFERROR(J47/(IFERROR(LOOKUP(2,1/('Transaction Log'!H5:H106&lt;&gt;""),'Transaction Log'!H5:H106),0)),0)</f>
        <v>0</v>
      </c>
      <c r="L47" s="41">
        <f>IFERROR(SUM(Positions!Q6:Q105),0)</f>
        <v>1183218559.9999971</v>
      </c>
      <c r="M47" s="10">
        <f t="shared" si="4"/>
        <v>0</v>
      </c>
      <c r="N47" s="11"/>
      <c r="O47" s="11"/>
      <c r="P47" s="42">
        <f t="shared" si="5"/>
        <v>0</v>
      </c>
      <c r="Q47" s="10">
        <f t="shared" si="6"/>
        <v>0</v>
      </c>
      <c r="R47" s="10" t="str">
        <f t="shared" si="7"/>
        <v/>
      </c>
      <c r="S47" s="10">
        <f t="shared" si="8"/>
        <v>0</v>
      </c>
      <c r="T47" s="42">
        <f>IFERROR(S47/(IFERROR(LOOKUP(2,1/('Transaction Log'!H5:H106&lt;&gt;""),'Transaction Log'!H5:H106),0)),0)</f>
        <v>0</v>
      </c>
      <c r="U47" s="40" t="str">
        <f t="shared" ca="1" si="9"/>
        <v>No Balance</v>
      </c>
      <c r="V47" s="11"/>
      <c r="W47" s="2"/>
    </row>
    <row r="48" spans="1:23" ht="18" customHeight="1">
      <c r="A48" s="7" t="s">
        <v>165</v>
      </c>
      <c r="B48" s="11"/>
      <c r="C48" s="11"/>
      <c r="D48" s="7"/>
      <c r="E48" s="38">
        <f t="shared" si="0"/>
        <v>0</v>
      </c>
      <c r="F48" s="39">
        <f t="shared" ca="1" si="1"/>
        <v>-46096</v>
      </c>
      <c r="G48" s="40" t="str">
        <f t="shared" ca="1" si="2"/>
        <v>UNLOCKED</v>
      </c>
      <c r="H48" s="41">
        <f>IFERROR(SUMIF('Transaction Log'!C5:C106,B48,'Transaction Log'!E5:E106),0)</f>
        <v>0</v>
      </c>
      <c r="I48" s="41">
        <f>IFERROR(SUMIF('Transaction Log'!C5:C106,B48,'Transaction Log'!F5:F106),0)</f>
        <v>0</v>
      </c>
      <c r="J48" s="10">
        <f t="shared" si="3"/>
        <v>0</v>
      </c>
      <c r="K48" s="42">
        <f>IFERROR(J48/(IFERROR(LOOKUP(2,1/('Transaction Log'!H5:H106&lt;&gt;""),'Transaction Log'!H5:H106),0)),0)</f>
        <v>0</v>
      </c>
      <c r="L48" s="41">
        <f>IFERROR(SUM(Positions!Q6:Q105),0)</f>
        <v>1183218559.9999971</v>
      </c>
      <c r="M48" s="10">
        <f t="shared" si="4"/>
        <v>0</v>
      </c>
      <c r="N48" s="11"/>
      <c r="O48" s="11"/>
      <c r="P48" s="42">
        <f t="shared" si="5"/>
        <v>0</v>
      </c>
      <c r="Q48" s="10">
        <f t="shared" si="6"/>
        <v>0</v>
      </c>
      <c r="R48" s="10" t="str">
        <f t="shared" si="7"/>
        <v/>
      </c>
      <c r="S48" s="10">
        <f t="shared" si="8"/>
        <v>0</v>
      </c>
      <c r="T48" s="42">
        <f>IFERROR(S48/(IFERROR(LOOKUP(2,1/('Transaction Log'!H5:H106&lt;&gt;""),'Transaction Log'!H5:H106),0)),0)</f>
        <v>0</v>
      </c>
      <c r="U48" s="40" t="str">
        <f t="shared" ca="1" si="9"/>
        <v>No Balance</v>
      </c>
      <c r="V48" s="11"/>
      <c r="W48" s="2"/>
    </row>
    <row r="49" spans="1:23" ht="18" customHeight="1">
      <c r="A49" s="7" t="s">
        <v>166</v>
      </c>
      <c r="B49" s="11"/>
      <c r="C49" s="11"/>
      <c r="D49" s="7"/>
      <c r="E49" s="38">
        <f t="shared" si="0"/>
        <v>0</v>
      </c>
      <c r="F49" s="39">
        <f t="shared" ca="1" si="1"/>
        <v>-46096</v>
      </c>
      <c r="G49" s="40" t="str">
        <f t="shared" ca="1" si="2"/>
        <v>UNLOCKED</v>
      </c>
      <c r="H49" s="41">
        <f>IFERROR(SUMIF('Transaction Log'!C5:C106,B49,'Transaction Log'!E5:E106),0)</f>
        <v>0</v>
      </c>
      <c r="I49" s="41">
        <f>IFERROR(SUMIF('Transaction Log'!C5:C106,B49,'Transaction Log'!F5:F106),0)</f>
        <v>0</v>
      </c>
      <c r="J49" s="10">
        <f t="shared" si="3"/>
        <v>0</v>
      </c>
      <c r="K49" s="42">
        <f>IFERROR(J49/(IFERROR(LOOKUP(2,1/('Transaction Log'!H5:H106&lt;&gt;""),'Transaction Log'!H5:H106),0)),0)</f>
        <v>0</v>
      </c>
      <c r="L49" s="41">
        <f>IFERROR(SUM(Positions!Q6:Q105),0)</f>
        <v>1183218559.9999971</v>
      </c>
      <c r="M49" s="10">
        <f t="shared" si="4"/>
        <v>0</v>
      </c>
      <c r="N49" s="11"/>
      <c r="O49" s="11"/>
      <c r="P49" s="42">
        <f t="shared" si="5"/>
        <v>0</v>
      </c>
      <c r="Q49" s="10">
        <f t="shared" si="6"/>
        <v>0</v>
      </c>
      <c r="R49" s="10" t="str">
        <f t="shared" si="7"/>
        <v/>
      </c>
      <c r="S49" s="10">
        <f t="shared" si="8"/>
        <v>0</v>
      </c>
      <c r="T49" s="42">
        <f>IFERROR(S49/(IFERROR(LOOKUP(2,1/('Transaction Log'!H5:H106&lt;&gt;""),'Transaction Log'!H5:H106),0)),0)</f>
        <v>0</v>
      </c>
      <c r="U49" s="40" t="str">
        <f t="shared" ca="1" si="9"/>
        <v>No Balance</v>
      </c>
      <c r="V49" s="11"/>
      <c r="W49" s="2"/>
    </row>
    <row r="50" spans="1:23" ht="18" customHeight="1">
      <c r="A50" s="7" t="s">
        <v>167</v>
      </c>
      <c r="B50" s="11"/>
      <c r="C50" s="11"/>
      <c r="D50" s="7"/>
      <c r="E50" s="38">
        <f t="shared" si="0"/>
        <v>0</v>
      </c>
      <c r="F50" s="39">
        <f t="shared" ca="1" si="1"/>
        <v>-46096</v>
      </c>
      <c r="G50" s="40" t="str">
        <f t="shared" ca="1" si="2"/>
        <v>UNLOCKED</v>
      </c>
      <c r="H50" s="41">
        <f>IFERROR(SUMIF('Transaction Log'!C5:C106,B50,'Transaction Log'!E5:E106),0)</f>
        <v>0</v>
      </c>
      <c r="I50" s="41">
        <f>IFERROR(SUMIF('Transaction Log'!C5:C106,B50,'Transaction Log'!F5:F106),0)</f>
        <v>0</v>
      </c>
      <c r="J50" s="10">
        <f t="shared" si="3"/>
        <v>0</v>
      </c>
      <c r="K50" s="42">
        <f>IFERROR(J50/(IFERROR(LOOKUP(2,1/('Transaction Log'!H5:H106&lt;&gt;""),'Transaction Log'!H5:H106),0)),0)</f>
        <v>0</v>
      </c>
      <c r="L50" s="41">
        <f>IFERROR(SUM(Positions!Q6:Q105),0)</f>
        <v>1183218559.9999971</v>
      </c>
      <c r="M50" s="10">
        <f t="shared" si="4"/>
        <v>0</v>
      </c>
      <c r="N50" s="11"/>
      <c r="O50" s="11"/>
      <c r="P50" s="42">
        <f t="shared" si="5"/>
        <v>0</v>
      </c>
      <c r="Q50" s="10">
        <f t="shared" si="6"/>
        <v>0</v>
      </c>
      <c r="R50" s="10" t="str">
        <f t="shared" si="7"/>
        <v/>
      </c>
      <c r="S50" s="10">
        <f t="shared" si="8"/>
        <v>0</v>
      </c>
      <c r="T50" s="42">
        <f>IFERROR(S50/(IFERROR(LOOKUP(2,1/('Transaction Log'!H5:H106&lt;&gt;""),'Transaction Log'!H5:H106),0)),0)</f>
        <v>0</v>
      </c>
      <c r="U50" s="40" t="str">
        <f t="shared" ca="1" si="9"/>
        <v>No Balance</v>
      </c>
      <c r="V50" s="11"/>
      <c r="W50" s="2"/>
    </row>
    <row r="51" spans="1:23" ht="18" customHeight="1">
      <c r="A51" s="7" t="s">
        <v>168</v>
      </c>
      <c r="B51" s="11"/>
      <c r="C51" s="11"/>
      <c r="D51" s="7"/>
      <c r="E51" s="38">
        <f t="shared" si="0"/>
        <v>0</v>
      </c>
      <c r="F51" s="39">
        <f t="shared" ca="1" si="1"/>
        <v>-46096</v>
      </c>
      <c r="G51" s="40" t="str">
        <f t="shared" ca="1" si="2"/>
        <v>UNLOCKED</v>
      </c>
      <c r="H51" s="41">
        <f>IFERROR(SUMIF('Transaction Log'!C5:C106,B51,'Transaction Log'!E5:E106),0)</f>
        <v>0</v>
      </c>
      <c r="I51" s="41">
        <f>IFERROR(SUMIF('Transaction Log'!C5:C106,B51,'Transaction Log'!F5:F106),0)</f>
        <v>0</v>
      </c>
      <c r="J51" s="10">
        <f t="shared" si="3"/>
        <v>0</v>
      </c>
      <c r="K51" s="42">
        <f>IFERROR(J51/(IFERROR(LOOKUP(2,1/('Transaction Log'!H5:H106&lt;&gt;""),'Transaction Log'!H5:H106),0)),0)</f>
        <v>0</v>
      </c>
      <c r="L51" s="41">
        <f>IFERROR(SUM(Positions!Q6:Q105),0)</f>
        <v>1183218559.9999971</v>
      </c>
      <c r="M51" s="10">
        <f t="shared" si="4"/>
        <v>0</v>
      </c>
      <c r="N51" s="11"/>
      <c r="O51" s="11"/>
      <c r="P51" s="42">
        <f t="shared" si="5"/>
        <v>0</v>
      </c>
      <c r="Q51" s="10">
        <f t="shared" si="6"/>
        <v>0</v>
      </c>
      <c r="R51" s="10" t="str">
        <f t="shared" si="7"/>
        <v/>
      </c>
      <c r="S51" s="10">
        <f t="shared" si="8"/>
        <v>0</v>
      </c>
      <c r="T51" s="42">
        <f>IFERROR(S51/(IFERROR(LOOKUP(2,1/('Transaction Log'!H5:H106&lt;&gt;""),'Transaction Log'!H5:H106),0)),0)</f>
        <v>0</v>
      </c>
      <c r="U51" s="40" t="str">
        <f t="shared" ca="1" si="9"/>
        <v>No Balance</v>
      </c>
      <c r="V51" s="11"/>
      <c r="W51" s="2"/>
    </row>
    <row r="52" spans="1:23" ht="18" customHeight="1">
      <c r="A52" s="7" t="s">
        <v>169</v>
      </c>
      <c r="B52" s="11"/>
      <c r="C52" s="11"/>
      <c r="D52" s="7"/>
      <c r="E52" s="38">
        <f t="shared" si="0"/>
        <v>0</v>
      </c>
      <c r="F52" s="39">
        <f t="shared" ca="1" si="1"/>
        <v>-46096</v>
      </c>
      <c r="G52" s="40" t="str">
        <f t="shared" ca="1" si="2"/>
        <v>UNLOCKED</v>
      </c>
      <c r="H52" s="41">
        <f>IFERROR(SUMIF('Transaction Log'!C5:C106,B52,'Transaction Log'!E5:E106),0)</f>
        <v>0</v>
      </c>
      <c r="I52" s="41">
        <f>IFERROR(SUMIF('Transaction Log'!C5:C106,B52,'Transaction Log'!F5:F106),0)</f>
        <v>0</v>
      </c>
      <c r="J52" s="10">
        <f t="shared" si="3"/>
        <v>0</v>
      </c>
      <c r="K52" s="42">
        <f>IFERROR(J52/(IFERROR(LOOKUP(2,1/('Transaction Log'!H5:H106&lt;&gt;""),'Transaction Log'!H5:H106),0)),0)</f>
        <v>0</v>
      </c>
      <c r="L52" s="41">
        <f>IFERROR(SUM(Positions!Q6:Q105),0)</f>
        <v>1183218559.9999971</v>
      </c>
      <c r="M52" s="10">
        <f t="shared" si="4"/>
        <v>0</v>
      </c>
      <c r="N52" s="11"/>
      <c r="O52" s="11"/>
      <c r="P52" s="42">
        <f t="shared" si="5"/>
        <v>0</v>
      </c>
      <c r="Q52" s="10">
        <f t="shared" si="6"/>
        <v>0</v>
      </c>
      <c r="R52" s="10" t="str">
        <f t="shared" si="7"/>
        <v/>
      </c>
      <c r="S52" s="10">
        <f t="shared" si="8"/>
        <v>0</v>
      </c>
      <c r="T52" s="42">
        <f>IFERROR(S52/(IFERROR(LOOKUP(2,1/('Transaction Log'!H5:H106&lt;&gt;""),'Transaction Log'!H5:H106),0)),0)</f>
        <v>0</v>
      </c>
      <c r="U52" s="40" t="str">
        <f t="shared" ca="1" si="9"/>
        <v>No Balance</v>
      </c>
      <c r="V52" s="11"/>
      <c r="W52" s="2"/>
    </row>
    <row r="53" spans="1:23" ht="18" customHeight="1">
      <c r="A53" s="7" t="s">
        <v>170</v>
      </c>
      <c r="B53" s="11"/>
      <c r="C53" s="11"/>
      <c r="D53" s="7"/>
      <c r="E53" s="38">
        <f t="shared" si="0"/>
        <v>0</v>
      </c>
      <c r="F53" s="39">
        <f t="shared" ca="1" si="1"/>
        <v>-46096</v>
      </c>
      <c r="G53" s="40" t="str">
        <f t="shared" ca="1" si="2"/>
        <v>UNLOCKED</v>
      </c>
      <c r="H53" s="41">
        <f>IFERROR(SUMIF('Transaction Log'!C5:C106,B53,'Transaction Log'!E5:E106),0)</f>
        <v>0</v>
      </c>
      <c r="I53" s="41">
        <f>IFERROR(SUMIF('Transaction Log'!C5:C106,B53,'Transaction Log'!F5:F106),0)</f>
        <v>0</v>
      </c>
      <c r="J53" s="10">
        <f t="shared" si="3"/>
        <v>0</v>
      </c>
      <c r="K53" s="42">
        <f>IFERROR(J53/(IFERROR(LOOKUP(2,1/('Transaction Log'!H5:H106&lt;&gt;""),'Transaction Log'!H5:H106),0)),0)</f>
        <v>0</v>
      </c>
      <c r="L53" s="41">
        <f>IFERROR(SUM(Positions!Q6:Q105),0)</f>
        <v>1183218559.9999971</v>
      </c>
      <c r="M53" s="10">
        <f t="shared" si="4"/>
        <v>0</v>
      </c>
      <c r="N53" s="11"/>
      <c r="O53" s="11"/>
      <c r="P53" s="42">
        <f t="shared" si="5"/>
        <v>0</v>
      </c>
      <c r="Q53" s="10">
        <f t="shared" si="6"/>
        <v>0</v>
      </c>
      <c r="R53" s="10" t="str">
        <f t="shared" si="7"/>
        <v/>
      </c>
      <c r="S53" s="10">
        <f t="shared" si="8"/>
        <v>0</v>
      </c>
      <c r="T53" s="42">
        <f>IFERROR(S53/(IFERROR(LOOKUP(2,1/('Transaction Log'!H5:H106&lt;&gt;""),'Transaction Log'!H5:H106),0)),0)</f>
        <v>0</v>
      </c>
      <c r="U53" s="40" t="str">
        <f t="shared" ca="1" si="9"/>
        <v>No Balance</v>
      </c>
      <c r="V53" s="11"/>
      <c r="W53" s="2"/>
    </row>
    <row r="54" spans="1:23" ht="18" customHeight="1">
      <c r="A54" s="7" t="s">
        <v>171</v>
      </c>
      <c r="B54" s="11"/>
      <c r="C54" s="11"/>
      <c r="D54" s="7"/>
      <c r="E54" s="38">
        <f t="shared" si="0"/>
        <v>0</v>
      </c>
      <c r="F54" s="39">
        <f t="shared" ca="1" si="1"/>
        <v>-46096</v>
      </c>
      <c r="G54" s="40" t="str">
        <f t="shared" ca="1" si="2"/>
        <v>UNLOCKED</v>
      </c>
      <c r="H54" s="41">
        <f>IFERROR(SUMIF('Transaction Log'!C5:C106,B54,'Transaction Log'!E5:E106),0)</f>
        <v>0</v>
      </c>
      <c r="I54" s="41">
        <f>IFERROR(SUMIF('Transaction Log'!C5:C106,B54,'Transaction Log'!F5:F106),0)</f>
        <v>0</v>
      </c>
      <c r="J54" s="10">
        <f t="shared" si="3"/>
        <v>0</v>
      </c>
      <c r="K54" s="42">
        <f>IFERROR(J54/(IFERROR(LOOKUP(2,1/('Transaction Log'!H5:H106&lt;&gt;""),'Transaction Log'!H5:H106),0)),0)</f>
        <v>0</v>
      </c>
      <c r="L54" s="41">
        <f>IFERROR(SUM(Positions!Q6:Q105),0)</f>
        <v>1183218559.9999971</v>
      </c>
      <c r="M54" s="10">
        <f t="shared" si="4"/>
        <v>0</v>
      </c>
      <c r="N54" s="11"/>
      <c r="O54" s="11"/>
      <c r="P54" s="42">
        <f t="shared" si="5"/>
        <v>0</v>
      </c>
      <c r="Q54" s="10">
        <f t="shared" si="6"/>
        <v>0</v>
      </c>
      <c r="R54" s="10" t="str">
        <f t="shared" si="7"/>
        <v/>
      </c>
      <c r="S54" s="10">
        <f t="shared" si="8"/>
        <v>0</v>
      </c>
      <c r="T54" s="42">
        <f>IFERROR(S54/(IFERROR(LOOKUP(2,1/('Transaction Log'!H5:H106&lt;&gt;""),'Transaction Log'!H5:H106),0)),0)</f>
        <v>0</v>
      </c>
      <c r="U54" s="40" t="str">
        <f t="shared" ca="1" si="9"/>
        <v>No Balance</v>
      </c>
      <c r="V54" s="11"/>
      <c r="W54" s="2"/>
    </row>
    <row r="55" spans="1:23" ht="18" customHeight="1">
      <c r="A55" s="7" t="s">
        <v>172</v>
      </c>
      <c r="B55" s="11"/>
      <c r="C55" s="11"/>
      <c r="D55" s="7"/>
      <c r="E55" s="38">
        <f t="shared" si="0"/>
        <v>0</v>
      </c>
      <c r="F55" s="39">
        <f t="shared" ca="1" si="1"/>
        <v>-46096</v>
      </c>
      <c r="G55" s="40" t="str">
        <f t="shared" ca="1" si="2"/>
        <v>UNLOCKED</v>
      </c>
      <c r="H55" s="41">
        <f>IFERROR(SUMIF('Transaction Log'!C5:C106,B55,'Transaction Log'!E5:E106),0)</f>
        <v>0</v>
      </c>
      <c r="I55" s="41">
        <f>IFERROR(SUMIF('Transaction Log'!C5:C106,B55,'Transaction Log'!F5:F106),0)</f>
        <v>0</v>
      </c>
      <c r="J55" s="10">
        <f t="shared" si="3"/>
        <v>0</v>
      </c>
      <c r="K55" s="42">
        <f>IFERROR(J55/(IFERROR(LOOKUP(2,1/('Transaction Log'!H5:H106&lt;&gt;""),'Transaction Log'!H5:H106),0)),0)</f>
        <v>0</v>
      </c>
      <c r="L55" s="41">
        <f>IFERROR(SUM(Positions!Q6:Q105),0)</f>
        <v>1183218559.9999971</v>
      </c>
      <c r="M55" s="10">
        <f t="shared" si="4"/>
        <v>0</v>
      </c>
      <c r="N55" s="11"/>
      <c r="O55" s="11"/>
      <c r="P55" s="42">
        <f t="shared" si="5"/>
        <v>0</v>
      </c>
      <c r="Q55" s="10">
        <f t="shared" si="6"/>
        <v>0</v>
      </c>
      <c r="R55" s="10" t="str">
        <f t="shared" si="7"/>
        <v/>
      </c>
      <c r="S55" s="10">
        <f t="shared" si="8"/>
        <v>0</v>
      </c>
      <c r="T55" s="42">
        <f>IFERROR(S55/(IFERROR(LOOKUP(2,1/('Transaction Log'!H5:H106&lt;&gt;""),'Transaction Log'!H5:H106),0)),0)</f>
        <v>0</v>
      </c>
      <c r="U55" s="40" t="str">
        <f t="shared" ca="1" si="9"/>
        <v>No Balance</v>
      </c>
      <c r="V55" s="11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00"/>
  </sheetPr>
  <dimension ref="A1:E1000"/>
  <sheetViews>
    <sheetView showGridLines="0" workbookViewId="0"/>
  </sheetViews>
  <sheetFormatPr defaultColWidth="14.42578125" defaultRowHeight="15" customHeight="1"/>
  <cols>
    <col min="1" max="1" width="3" customWidth="1"/>
    <col min="2" max="2" width="34" customWidth="1"/>
    <col min="3" max="3" width="22" customWidth="1"/>
    <col min="4" max="4" width="42" customWidth="1"/>
    <col min="5" max="26" width="8.7109375" customWidth="1"/>
  </cols>
  <sheetData>
    <row r="1" spans="1:5">
      <c r="A1" s="1" t="s">
        <v>173</v>
      </c>
      <c r="B1" s="2"/>
      <c r="C1" s="2"/>
      <c r="D1" s="44" t="str">
        <f ca="1">"DATE: "&amp;TEXT(TODAY(),"DD.MM.YYYY")</f>
        <v>DATE: DD.03.YYYY</v>
      </c>
      <c r="E1" s="2"/>
    </row>
    <row r="2" spans="1:5">
      <c r="A2" s="3" t="s">
        <v>174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 ht="19.5" customHeight="1">
      <c r="A4" s="45"/>
      <c r="B4" s="46" t="s">
        <v>175</v>
      </c>
      <c r="C4" s="45"/>
      <c r="D4" s="45"/>
      <c r="E4" s="45"/>
    </row>
    <row r="5" spans="1:5" ht="18" customHeight="1">
      <c r="A5" s="11"/>
      <c r="B5" s="47" t="s">
        <v>176</v>
      </c>
      <c r="C5" s="41">
        <f>SUM('Transaction Log'!E5:E106)</f>
        <v>2050000000</v>
      </c>
      <c r="D5" s="48" t="s">
        <v>177</v>
      </c>
      <c r="E5" s="2"/>
    </row>
    <row r="6" spans="1:5" ht="18" customHeight="1">
      <c r="A6" s="11"/>
      <c r="B6" s="47" t="s">
        <v>178</v>
      </c>
      <c r="C6" s="41">
        <f>IFERROR(LOOKUP(2,1/('Transaction Log'!H5:H106&lt;&gt;""),'Transaction Log'!H5:H106),0)</f>
        <v>2050000000</v>
      </c>
      <c r="D6" s="48" t="s">
        <v>179</v>
      </c>
      <c r="E6" s="2"/>
    </row>
    <row r="7" spans="1:5" ht="18" customHeight="1">
      <c r="A7" s="11"/>
      <c r="B7" s="47" t="s">
        <v>180</v>
      </c>
      <c r="C7" s="41">
        <f>SUMIF(Positions!B6:B105,"Open",Positions!Q6:Q105)</f>
        <v>43079999.999999925</v>
      </c>
      <c r="D7" s="48" t="s">
        <v>181</v>
      </c>
      <c r="E7" s="2"/>
    </row>
    <row r="8" spans="1:5" ht="18" customHeight="1">
      <c r="A8" s="11"/>
      <c r="B8" s="47" t="s">
        <v>182</v>
      </c>
      <c r="C8" s="41">
        <f>SUMIF(Positions!B6:B105,"Closed",Positions!Q6:Q105)</f>
        <v>1140138559.9999971</v>
      </c>
      <c r="D8" s="48" t="s">
        <v>183</v>
      </c>
      <c r="E8" s="2"/>
    </row>
    <row r="9" spans="1:5" ht="18" customHeight="1">
      <c r="A9" s="11"/>
      <c r="B9" s="47" t="s">
        <v>184</v>
      </c>
      <c r="C9" s="41">
        <f>SUM(Positions!Q6:Q105)</f>
        <v>1183218559.9999971</v>
      </c>
      <c r="D9" s="48" t="s">
        <v>185</v>
      </c>
      <c r="E9" s="2"/>
    </row>
    <row r="10" spans="1:5" ht="18" customHeight="1">
      <c r="A10" s="11"/>
      <c r="B10" s="47" t="s">
        <v>186</v>
      </c>
      <c r="C10" s="41">
        <f>IFERROR(LOOKUP(2,1/('Transaction Log'!H5:H106&lt;&gt;""),'Transaction Log'!H5:H106),0)+SUM(Positions!Q6:Q105)</f>
        <v>3233218559.9999971</v>
      </c>
      <c r="D10" s="48" t="s">
        <v>187</v>
      </c>
      <c r="E10" s="2"/>
    </row>
    <row r="11" spans="1:5" ht="18" customHeight="1">
      <c r="A11" s="11"/>
      <c r="B11" s="47" t="s">
        <v>188</v>
      </c>
      <c r="C11" s="49">
        <f>IFERROR(SUM(Positions!Q6:Q105)/SUM('Transaction Log'!E5:E106),0)</f>
        <v>0.57717978536585224</v>
      </c>
      <c r="D11" s="48" t="s">
        <v>189</v>
      </c>
      <c r="E11" s="2"/>
    </row>
    <row r="12" spans="1:5" ht="19.5" customHeight="1">
      <c r="A12" s="45"/>
      <c r="B12" s="46" t="s">
        <v>190</v>
      </c>
      <c r="C12" s="45"/>
      <c r="D12" s="45"/>
      <c r="E12" s="45"/>
    </row>
    <row r="13" spans="1:5" ht="18" customHeight="1">
      <c r="A13" s="11"/>
      <c r="B13" s="47" t="s">
        <v>191</v>
      </c>
      <c r="C13" s="41">
        <f>IFERROR(MAX('Transaction Log'!H5:H106),0)</f>
        <v>2050000000</v>
      </c>
      <c r="D13" s="48" t="s">
        <v>192</v>
      </c>
      <c r="E13" s="2"/>
    </row>
    <row r="14" spans="1:5" ht="18" customHeight="1">
      <c r="A14" s="11"/>
      <c r="B14" s="47" t="s">
        <v>193</v>
      </c>
      <c r="C14" s="41">
        <f>IFERROR(MAX('Transaction Log'!H5:H106)-LOOKUP(2,1/('Transaction Log'!H5:H106&lt;&gt;""),'Transaction Log'!H5:H106),0)</f>
        <v>0</v>
      </c>
      <c r="D14" s="48" t="s">
        <v>194</v>
      </c>
      <c r="E14" s="2"/>
    </row>
    <row r="15" spans="1:5" ht="18" customHeight="1">
      <c r="A15" s="11"/>
      <c r="B15" s="47" t="s">
        <v>195</v>
      </c>
      <c r="C15" s="49">
        <f>IFERROR(IF(MAX('Transaction Log'!H5:H106)=0,"—",(MAX('Transaction Log'!H5:H106)-LOOKUP(2,1/('Transaction Log'!H5:H106&lt;&gt;""),'Transaction Log'!H5:H106))/MAX('Transaction Log'!H5:H106)),"—")</f>
        <v>0</v>
      </c>
      <c r="D15" s="48" t="s">
        <v>196</v>
      </c>
      <c r="E15" s="2"/>
    </row>
    <row r="16" spans="1:5" ht="18" customHeight="1">
      <c r="A16" s="11"/>
      <c r="B16" s="47" t="s">
        <v>197</v>
      </c>
      <c r="C16" s="41">
        <f>SUMIF(Positions!B6:B105,"Open",Positions!AC6:AC105)</f>
        <v>225319999.99999982</v>
      </c>
      <c r="D16" s="48" t="s">
        <v>198</v>
      </c>
      <c r="E16" s="2"/>
    </row>
    <row r="17" spans="1:5" ht="18" customHeight="1">
      <c r="A17" s="11"/>
      <c r="B17" s="47" t="s">
        <v>199</v>
      </c>
      <c r="C17" s="41">
        <f>SUMIF(Positions!B6:B105,"Open",Positions!K6:K105)</f>
        <v>3905320000</v>
      </c>
      <c r="D17" s="48" t="s">
        <v>200</v>
      </c>
      <c r="E17" s="2"/>
    </row>
    <row r="18" spans="1:5" ht="18" customHeight="1">
      <c r="A18" s="11"/>
      <c r="B18" s="47" t="s">
        <v>201</v>
      </c>
      <c r="C18" s="41">
        <f>SUMIF(Positions!B6:B105,"Open",Positions!L6:L105)</f>
        <v>195266000</v>
      </c>
      <c r="D18" s="48" t="s">
        <v>202</v>
      </c>
      <c r="E18" s="2"/>
    </row>
    <row r="19" spans="1:5" ht="18" customHeight="1">
      <c r="A19" s="11"/>
      <c r="B19" s="47" t="s">
        <v>203</v>
      </c>
      <c r="C19" s="50">
        <f>COUNTIF(Positions!N6:N105,"LIQUIDATION")</f>
        <v>0</v>
      </c>
      <c r="D19" s="48" t="s">
        <v>204</v>
      </c>
      <c r="E19" s="2"/>
    </row>
    <row r="20" spans="1:5" ht="19.5" customHeight="1">
      <c r="A20" s="45"/>
      <c r="B20" s="46" t="s">
        <v>205</v>
      </c>
      <c r="C20" s="45"/>
      <c r="D20" s="45"/>
      <c r="E20" s="45"/>
    </row>
    <row r="21" spans="1:5" ht="18" customHeight="1">
      <c r="A21" s="11"/>
      <c r="B21" s="47" t="s">
        <v>206</v>
      </c>
      <c r="C21" s="50">
        <f>COUNTIF(Positions!B6:B105,"Closed")</f>
        <v>23</v>
      </c>
      <c r="D21" s="48" t="s">
        <v>207</v>
      </c>
      <c r="E21" s="2"/>
    </row>
    <row r="22" spans="1:5" ht="18" customHeight="1">
      <c r="A22" s="11"/>
      <c r="B22" s="47" t="s">
        <v>208</v>
      </c>
      <c r="C22" s="50">
        <f>COUNTIFS(Positions!B6:B105,"Closed",Positions!Q6:Q105,"&gt;"&amp;0)</f>
        <v>20</v>
      </c>
      <c r="D22" s="48" t="s">
        <v>209</v>
      </c>
      <c r="E22" s="2"/>
    </row>
    <row r="23" spans="1:5" ht="18" customHeight="1">
      <c r="A23" s="11"/>
      <c r="B23" s="47" t="s">
        <v>210</v>
      </c>
      <c r="C23" s="50">
        <f>COUNTIFS(Positions!B6:B105,"Closed",Positions!Q6:Q105,"&lt;"&amp;0)</f>
        <v>3</v>
      </c>
      <c r="D23" s="48" t="s">
        <v>211</v>
      </c>
      <c r="E23" s="2"/>
    </row>
    <row r="24" spans="1:5" ht="18" customHeight="1">
      <c r="A24" s="11"/>
      <c r="B24" s="47" t="s">
        <v>212</v>
      </c>
      <c r="C24" s="49">
        <f>IFERROR(COUNTIFS(Positions!B6:B105,"Closed",Positions!Q6:Q105,"&gt;"&amp;0)/COUNTIF(Positions!B6:B105,"Closed"),0)</f>
        <v>0.86956521739130432</v>
      </c>
      <c r="D24" s="48" t="s">
        <v>213</v>
      </c>
      <c r="E24" s="2"/>
    </row>
    <row r="25" spans="1:5" ht="18" customHeight="1">
      <c r="A25" s="11"/>
      <c r="B25" s="47" t="s">
        <v>214</v>
      </c>
      <c r="C25" s="41">
        <f>IFERROR(SUM(Positions!Q6:Q105)/COUNTIF(Positions!B6:B105,"Closed"),0)</f>
        <v>51444285.217391178</v>
      </c>
      <c r="D25" s="48" t="s">
        <v>215</v>
      </c>
      <c r="E25" s="2"/>
    </row>
    <row r="26" spans="1:5" ht="18" customHeight="1">
      <c r="A26" s="11"/>
      <c r="B26" s="47" t="s">
        <v>216</v>
      </c>
      <c r="C26" s="41">
        <f>IFERROR(SUMPRODUCT((Positions!B6:B105="Closed")*(Positions!Q6:Q105&gt;0)*Positions!Q6:Q105)/COUNTIFS(Positions!B6:B105,"Closed",Positions!Q6:Q105,"&gt;"&amp;0),0)</f>
        <v>66169177.999999896</v>
      </c>
      <c r="D26" s="48" t="s">
        <v>217</v>
      </c>
      <c r="E26" s="2"/>
    </row>
    <row r="27" spans="1:5" ht="18" customHeight="1">
      <c r="A27" s="11"/>
      <c r="B27" s="47" t="s">
        <v>218</v>
      </c>
      <c r="C27" s="41">
        <f>IFERROR(SUMPRODUCT((Positions!B6:B105="Closed")*(Positions!Q6:Q105&lt;0)*Positions!Q6:Q105)/COUNTIFS(Positions!B6:B105,"Closed",Positions!Q6:Q105,"&lt;"&amp;0),0)</f>
        <v>-61081666.666666843</v>
      </c>
      <c r="D27" s="48" t="s">
        <v>219</v>
      </c>
      <c r="E27" s="2"/>
    </row>
    <row r="28" spans="1:5" ht="18" customHeight="1">
      <c r="A28" s="11"/>
      <c r="B28" s="47" t="s">
        <v>220</v>
      </c>
      <c r="C28" s="41">
        <f>IFERROR(_xlfn.SINGLE(_xlfn.MAXIFS(Positions!Q6:Q105, Positions!B6:B105, "Closed")), 0)</f>
        <v>408383999.99999964</v>
      </c>
      <c r="D28" s="48" t="s">
        <v>221</v>
      </c>
      <c r="E28" s="2"/>
    </row>
    <row r="29" spans="1:5" ht="18" customHeight="1">
      <c r="A29" s="11"/>
      <c r="B29" s="47" t="s">
        <v>222</v>
      </c>
      <c r="C29" s="41">
        <f>IFERROR(_xlfn.SINGLE(_xlfn.MINIFS(Positions!Q6:Q105, Positions!B6:B105, "Closed", Positions!Q6:Q105, "&lt;0")), 0)</f>
        <v>-121000000.0000008</v>
      </c>
      <c r="D29" s="48" t="s">
        <v>223</v>
      </c>
      <c r="E29" s="2"/>
    </row>
    <row r="30" spans="1:5" ht="18" customHeight="1">
      <c r="A30" s="11"/>
      <c r="B30" s="47" t="s">
        <v>224</v>
      </c>
      <c r="C30" s="51">
        <f>IFERROR(SUMPRODUCT((Positions!B6:B105="Closed")*(Positions!Q6:Q105&gt;0)*Positions!Q6:Q105)/ABS(SUMPRODUCT((Positions!B6:B105="Closed")*(Positions!Q6:Q105&lt;0)*Positions!Q6:Q105)),0)</f>
        <v>7.2219354416218398</v>
      </c>
      <c r="D30" s="48" t="s">
        <v>225</v>
      </c>
      <c r="E30" s="2"/>
    </row>
    <row r="31" spans="1:5" ht="19.5" customHeight="1">
      <c r="A31" s="45"/>
      <c r="B31" s="46" t="s">
        <v>226</v>
      </c>
      <c r="C31" s="45"/>
      <c r="D31" s="45"/>
      <c r="E31" s="45"/>
    </row>
    <row r="32" spans="1:5" ht="18" customHeight="1">
      <c r="A32" s="11"/>
      <c r="B32" s="47" t="s">
        <v>227</v>
      </c>
      <c r="C32" s="51">
        <f ca="1">IFERROR(AVERAGEIF(Positions!B6:B105,"Closed",Positions!U6:U105),0)</f>
        <v>1.0869565217391304</v>
      </c>
      <c r="D32" s="48" t="s">
        <v>228</v>
      </c>
      <c r="E32" s="2"/>
    </row>
    <row r="33" spans="1:5" ht="18" customHeight="1">
      <c r="A33" s="11"/>
      <c r="B33" s="47" t="s">
        <v>229</v>
      </c>
      <c r="C33" s="51">
        <f>IFERROR(AVERAGE(Positions!R6:R105)/STDEV(Positions!R6:R105),0)</f>
        <v>0.62424544673765892</v>
      </c>
      <c r="D33" s="48" t="s">
        <v>230</v>
      </c>
      <c r="E33" s="2"/>
    </row>
    <row r="34" spans="1:5" ht="18" customHeight="1">
      <c r="A34" s="11"/>
      <c r="B34" s="47" t="s">
        <v>231</v>
      </c>
      <c r="C34" s="50">
        <f>IFERROR((COUNTIFS(Positions!B6:B105,"Closed",Positions!Q6:Q105,"&gt;"&amp;0)/COUNTIF(Positions!B6:B105,"Closed"))*IFERROR(SUMPRODUCT((Positions!B6:B105="Closed")*(Positions!Q6:Q105&gt;0)*Positions!Q6:Q105)/COUNTIFS(Positions!B6:B105,"Closed",Positions!Q6:Q105,"&gt;"&amp;0),0)+(COUNTIFS(Positions!B6:B105,"Closed",Positions!Q6:Q105,"&lt;"&amp;0)/COUNTIF(Positions!B6:B105,"Closed"))*IFERROR(SUMPRODUCT((Positions!B6:B105="Closed")*(Positions!Q6:Q105&lt;0)*Positions!Q6:Q105)/COUNTIFS(Positions!B6:B105,"Closed",Positions!Q6:Q105,"&lt;"&amp;0),0),0)</f>
        <v>49571241.739130318</v>
      </c>
      <c r="D34" s="48" t="s">
        <v>232</v>
      </c>
      <c r="E34" s="2"/>
    </row>
    <row r="35" spans="1:5" ht="19.5" customHeight="1">
      <c r="A35" s="45"/>
      <c r="B35" s="46" t="s">
        <v>233</v>
      </c>
      <c r="C35" s="45"/>
      <c r="D35" s="45"/>
      <c r="E35" s="45"/>
    </row>
    <row r="36" spans="1:5" ht="18" customHeight="1">
      <c r="A36" s="11"/>
      <c r="B36" s="47" t="s">
        <v>234</v>
      </c>
      <c r="C36" s="50">
        <f>COUNTIF(Positions!AF6:AF105,"STOP LOSS HIT")</f>
        <v>4</v>
      </c>
      <c r="D36" s="48" t="s">
        <v>235</v>
      </c>
      <c r="E36" s="2"/>
    </row>
    <row r="37" spans="1:5" ht="18" customHeight="1">
      <c r="A37" s="11"/>
      <c r="B37" s="47" t="s">
        <v>236</v>
      </c>
      <c r="C37" s="50">
        <f>COUNTIF(Positions!AF6:AF105,"TAKE PROFIT HIT")</f>
        <v>16</v>
      </c>
      <c r="D37" s="48" t="s">
        <v>235</v>
      </c>
      <c r="E37" s="2"/>
    </row>
    <row r="38" spans="1:5" ht="18" customHeight="1">
      <c r="A38" s="11"/>
      <c r="B38" s="47" t="s">
        <v>237</v>
      </c>
      <c r="C38" s="50">
        <f>COUNTIF(Positions!AF6:AF105,"Active")</f>
        <v>2</v>
      </c>
      <c r="D38" s="48" t="s">
        <v>235</v>
      </c>
      <c r="E38" s="2"/>
    </row>
    <row r="39" spans="1:5" ht="15.75" customHeight="1">
      <c r="A39" s="2"/>
      <c r="B39" s="2"/>
      <c r="C39" s="2"/>
      <c r="D39" s="2"/>
      <c r="E39" s="2"/>
    </row>
    <row r="40" spans="1:5" ht="15.75" customHeight="1">
      <c r="A40" s="2"/>
      <c r="B40" s="2"/>
      <c r="C40" s="2"/>
      <c r="D40" s="2"/>
      <c r="E40" s="2"/>
    </row>
    <row r="41" spans="1:5" ht="15.75" customHeight="1">
      <c r="A41" s="2"/>
      <c r="B41" s="2"/>
      <c r="C41" s="2"/>
      <c r="D41" s="2"/>
      <c r="E41" s="2"/>
    </row>
    <row r="42" spans="1:5" ht="15.75" customHeight="1">
      <c r="A42" s="2"/>
      <c r="B42" s="2"/>
      <c r="C42" s="2"/>
      <c r="D42" s="2"/>
      <c r="E42" s="2"/>
    </row>
    <row r="43" spans="1:5" ht="15.75" customHeight="1">
      <c r="A43" s="2"/>
      <c r="B43" s="2"/>
      <c r="C43" s="2"/>
      <c r="D43" s="2"/>
      <c r="E43" s="2"/>
    </row>
    <row r="44" spans="1:5" ht="15.75" customHeight="1">
      <c r="A44" s="2"/>
      <c r="B44" s="2"/>
      <c r="C44" s="2"/>
      <c r="D44" s="2"/>
      <c r="E44" s="2"/>
    </row>
    <row r="45" spans="1:5" ht="15.75" customHeight="1">
      <c r="A45" s="2"/>
      <c r="B45" s="2"/>
      <c r="C45" s="2"/>
      <c r="D45" s="2"/>
      <c r="E45" s="2"/>
    </row>
    <row r="46" spans="1:5" ht="15.75" customHeight="1">
      <c r="A46" s="2"/>
      <c r="B46" s="2"/>
      <c r="C46" s="2"/>
      <c r="D46" s="2"/>
      <c r="E46" s="2"/>
    </row>
    <row r="47" spans="1:5" ht="15.75" customHeight="1">
      <c r="A47" s="2"/>
      <c r="B47" s="2"/>
      <c r="C47" s="2"/>
      <c r="D47" s="2"/>
      <c r="E47" s="2"/>
    </row>
    <row r="48" spans="1:5" ht="15.75" customHeight="1">
      <c r="A48" s="2"/>
      <c r="B48" s="2"/>
      <c r="C48" s="2"/>
      <c r="D48" s="2"/>
      <c r="E48" s="2"/>
    </row>
    <row r="49" spans="1:5" ht="15.75" customHeight="1">
      <c r="A49" s="2"/>
      <c r="B49" s="2"/>
      <c r="C49" s="2"/>
      <c r="D49" s="2"/>
      <c r="E49" s="2"/>
    </row>
    <row r="50" spans="1:5" ht="15.75" customHeight="1"/>
    <row r="51" spans="1:5" ht="15.75" customHeight="1"/>
    <row r="52" spans="1:5" ht="15.75" customHeight="1"/>
    <row r="53" spans="1:5" ht="15.75" customHeight="1"/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00"/>
  </sheetPr>
  <dimension ref="A1:E1000"/>
  <sheetViews>
    <sheetView showGridLines="0" workbookViewId="0"/>
  </sheetViews>
  <sheetFormatPr defaultColWidth="14.42578125" defaultRowHeight="15" customHeight="1"/>
  <cols>
    <col min="1" max="1" width="3" customWidth="1"/>
    <col min="2" max="2" width="30" customWidth="1"/>
    <col min="3" max="3" width="22" customWidth="1"/>
    <col min="4" max="4" width="30" customWidth="1"/>
    <col min="5" max="26" width="8.7109375" customWidth="1"/>
  </cols>
  <sheetData>
    <row r="1" spans="1:5">
      <c r="A1" s="1" t="s">
        <v>238</v>
      </c>
      <c r="B1" s="2"/>
      <c r="C1" s="2"/>
      <c r="D1" s="2"/>
      <c r="E1" s="2"/>
    </row>
    <row r="2" spans="1:5">
      <c r="A2" s="3" t="s">
        <v>239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4" t="s">
        <v>240</v>
      </c>
      <c r="C4" s="4" t="s">
        <v>241</v>
      </c>
      <c r="D4" s="4" t="s">
        <v>242</v>
      </c>
      <c r="E4" s="2"/>
    </row>
    <row r="5" spans="1:5" ht="18" customHeight="1">
      <c r="A5" s="11"/>
      <c r="B5" s="47" t="s">
        <v>243</v>
      </c>
      <c r="C5" s="41">
        <f>SUM('Transaction Log'!E5:E106)</f>
        <v>2050000000</v>
      </c>
      <c r="D5" s="48" t="s">
        <v>244</v>
      </c>
      <c r="E5" s="2"/>
    </row>
    <row r="6" spans="1:5" ht="18" customHeight="1">
      <c r="A6" s="11"/>
      <c r="B6" s="47" t="s">
        <v>245</v>
      </c>
      <c r="C6" s="41">
        <f>SUM('Transaction Log'!F5:F106)</f>
        <v>0</v>
      </c>
      <c r="D6" s="48" t="s">
        <v>246</v>
      </c>
      <c r="E6" s="2"/>
    </row>
    <row r="7" spans="1:5" ht="18" customHeight="1">
      <c r="A7" s="11"/>
      <c r="B7" s="47" t="s">
        <v>247</v>
      </c>
      <c r="C7" s="41">
        <f>SUM('Transaction Log'!G5:G106)</f>
        <v>2050000000</v>
      </c>
      <c r="D7" s="48" t="s">
        <v>248</v>
      </c>
      <c r="E7" s="2"/>
    </row>
    <row r="8" spans="1:5" ht="18" customHeight="1">
      <c r="A8" s="11"/>
      <c r="B8" s="47" t="s">
        <v>249</v>
      </c>
      <c r="C8" s="41">
        <f>IFERROR(LOOKUP(2,1/('Transaction Log'!H5:H106&lt;&gt;""),'Transaction Log'!H5:H106),0)</f>
        <v>2050000000</v>
      </c>
      <c r="D8" s="48" t="s">
        <v>250</v>
      </c>
      <c r="E8" s="2"/>
    </row>
    <row r="9" spans="1:5" ht="18" customHeight="1">
      <c r="A9" s="11"/>
      <c r="B9" s="47" t="s">
        <v>251</v>
      </c>
      <c r="C9" s="50">
        <f>COUNTA('Transaction Log'!C5:C106)</f>
        <v>2</v>
      </c>
      <c r="D9" s="48" t="s">
        <v>252</v>
      </c>
      <c r="E9" s="2"/>
    </row>
    <row r="10" spans="1:5" ht="18" customHeight="1">
      <c r="A10" s="11"/>
      <c r="B10" s="47" t="s">
        <v>253</v>
      </c>
      <c r="C10" s="52">
        <f>IFERROR(LOOKUP(2,1/('Transaction Log'!B5:B106&lt;&gt;""),'Transaction Log'!B5:B106),"—")</f>
        <v>46093</v>
      </c>
      <c r="D10" s="48" t="s">
        <v>254</v>
      </c>
      <c r="E10" s="2"/>
    </row>
    <row r="11" spans="1:5">
      <c r="A11" s="2"/>
      <c r="B11" s="2"/>
      <c r="C11" s="2"/>
      <c r="D11" s="2"/>
      <c r="E11" s="2"/>
    </row>
    <row r="12" spans="1:5" ht="18" customHeight="1">
      <c r="A12" s="11"/>
      <c r="B12" s="47" t="s">
        <v>255</v>
      </c>
      <c r="C12" s="50">
        <f>COUNTIF(Positions!B6:B105,"Open")</f>
        <v>2</v>
      </c>
      <c r="D12" s="11"/>
      <c r="E12" s="2"/>
    </row>
    <row r="13" spans="1:5" ht="18" customHeight="1">
      <c r="A13" s="11"/>
      <c r="B13" s="47" t="s">
        <v>256</v>
      </c>
      <c r="C13" s="50">
        <f>COUNTIF(Positions!B6:B105,"Closed")</f>
        <v>23</v>
      </c>
      <c r="D13" s="11"/>
      <c r="E13" s="2"/>
    </row>
    <row r="14" spans="1:5" ht="18" customHeight="1">
      <c r="A14" s="11"/>
      <c r="B14" s="47" t="s">
        <v>257</v>
      </c>
      <c r="C14" s="41">
        <f>SUMIF(Positions!B6:B105,"Open",Positions!K6:K105)</f>
        <v>3905320000</v>
      </c>
      <c r="D14" s="11"/>
      <c r="E14" s="2"/>
    </row>
    <row r="15" spans="1:5" ht="18" customHeight="1">
      <c r="A15" s="11"/>
      <c r="B15" s="47" t="s">
        <v>201</v>
      </c>
      <c r="C15" s="41">
        <f>SUMIF(Positions!B6:B105,"Open",Positions!L6:L105)</f>
        <v>195266000</v>
      </c>
      <c r="D15" s="11"/>
      <c r="E15" s="2"/>
    </row>
    <row r="16" spans="1:5" ht="18" customHeight="1">
      <c r="A16" s="11"/>
      <c r="B16" s="47" t="s">
        <v>180</v>
      </c>
      <c r="C16" s="41">
        <f>SUMIF(Positions!B6:B105,"Open",Positions!Q6:Q105)</f>
        <v>43079999.999999925</v>
      </c>
      <c r="D16" s="11"/>
      <c r="E16" s="2"/>
    </row>
    <row r="17" spans="1:5" ht="18" customHeight="1">
      <c r="A17" s="11"/>
      <c r="B17" s="47" t="s">
        <v>182</v>
      </c>
      <c r="C17" s="41">
        <f>SUMIF(Positions!B6:B105,"Closed",Positions!Q6:Q105)</f>
        <v>1140138559.9999971</v>
      </c>
      <c r="D17" s="11"/>
      <c r="E17" s="2"/>
    </row>
    <row r="18" spans="1:5" ht="18" customHeight="1">
      <c r="A18" s="11"/>
      <c r="B18" s="47" t="s">
        <v>184</v>
      </c>
      <c r="C18" s="41">
        <f>SUM(Positions!Q6:Q105)</f>
        <v>1183218559.9999971</v>
      </c>
      <c r="D18" s="11"/>
      <c r="E18" s="2"/>
    </row>
    <row r="19" spans="1:5" ht="18" customHeight="1">
      <c r="A19" s="11"/>
      <c r="B19" s="47" t="s">
        <v>203</v>
      </c>
      <c r="C19" s="50">
        <f>COUNTIF(Positions!N6:N105,"LIQUIDATION")</f>
        <v>0</v>
      </c>
      <c r="D19" s="11"/>
      <c r="E19" s="2"/>
    </row>
    <row r="20" spans="1:5" ht="18" customHeight="1">
      <c r="A20" s="11"/>
      <c r="B20" s="47" t="s">
        <v>258</v>
      </c>
      <c r="C20" s="41">
        <f>IFERROR(SUM('Investor Withdrawals'!R6:R55),0)</f>
        <v>78858989.268292606</v>
      </c>
      <c r="D20" s="11"/>
      <c r="E20" s="2"/>
    </row>
    <row r="21" spans="1:5" ht="18" customHeight="1">
      <c r="A21" s="11"/>
      <c r="B21" s="47" t="s">
        <v>186</v>
      </c>
      <c r="C21" s="41">
        <f>IFERROR(LOOKUP(2,1/('Transaction Log'!H5:H106&lt;&gt;""),'Transaction Log'!H5:H106),0)+SUM(Positions!Q6:Q105)</f>
        <v>3233218559.9999971</v>
      </c>
      <c r="D21" s="48" t="s">
        <v>259</v>
      </c>
      <c r="E21" s="2"/>
    </row>
    <row r="22" spans="1:5" ht="19.5" customHeight="1">
      <c r="A22" s="45"/>
      <c r="B22" s="53" t="s">
        <v>260</v>
      </c>
      <c r="C22" s="45"/>
      <c r="D22" s="45"/>
      <c r="E22" s="2"/>
    </row>
    <row r="23" spans="1:5" ht="24" customHeight="1">
      <c r="A23" s="2"/>
      <c r="B23" s="4" t="s">
        <v>5</v>
      </c>
      <c r="C23" s="4" t="s">
        <v>261</v>
      </c>
      <c r="D23" s="4" t="s">
        <v>262</v>
      </c>
      <c r="E23" s="2"/>
    </row>
    <row r="24" spans="1:5" ht="18" customHeight="1">
      <c r="A24" s="11"/>
      <c r="B24" s="7" t="s">
        <v>13</v>
      </c>
      <c r="C24" s="41">
        <f>SUMPRODUCT(('Transaction Log'!C5:C106=B24)*('Transaction Log'!E5:E106))</f>
        <v>2000000000</v>
      </c>
      <c r="D24" s="41">
        <f>SUMPRODUCT(('Transaction Log'!C5:C106=B24)*('Transaction Log'!F5:F106))</f>
        <v>0</v>
      </c>
      <c r="E24" s="2"/>
    </row>
    <row r="25" spans="1:5" ht="18" customHeight="1">
      <c r="A25" s="11"/>
      <c r="B25" s="7" t="s">
        <v>17</v>
      </c>
      <c r="C25" s="41">
        <f>SUMPRODUCT(('Transaction Log'!C5:C106=B25)*('Transaction Log'!E5:E106))</f>
        <v>50000000</v>
      </c>
      <c r="D25" s="41">
        <f>SUMPRODUCT(('Transaction Log'!C5:C106=B25)*('Transaction Log'!F5:F106))</f>
        <v>0</v>
      </c>
      <c r="E25" s="2"/>
    </row>
    <row r="26" spans="1:5" ht="15.75" customHeight="1">
      <c r="A26" s="2"/>
      <c r="B26" s="2"/>
      <c r="C26" s="2"/>
      <c r="D26" s="2"/>
      <c r="E26" s="2"/>
    </row>
    <row r="27" spans="1:5" ht="15.75" customHeight="1">
      <c r="A27" s="2"/>
      <c r="B27" s="2"/>
      <c r="C27" s="2"/>
      <c r="D27" s="2"/>
      <c r="E27" s="2"/>
    </row>
    <row r="28" spans="1:5" ht="15.75" customHeight="1">
      <c r="A28" s="2"/>
      <c r="B28" s="2"/>
      <c r="C28" s="2"/>
      <c r="D28" s="2"/>
      <c r="E28" s="2"/>
    </row>
    <row r="29" spans="1:5" ht="15.75" customHeight="1">
      <c r="A29" s="2"/>
      <c r="B29" s="2"/>
      <c r="C29" s="2"/>
      <c r="D29" s="2"/>
      <c r="E29" s="2"/>
    </row>
    <row r="30" spans="1:5" ht="15.75" customHeight="1">
      <c r="A30" s="2"/>
      <c r="B30" s="2"/>
      <c r="C30" s="2"/>
      <c r="D30" s="2"/>
      <c r="E30" s="2"/>
    </row>
    <row r="31" spans="1:5" ht="15.75" customHeight="1">
      <c r="A31" s="2"/>
      <c r="B31" s="2"/>
      <c r="C31" s="2"/>
      <c r="D31" s="2"/>
      <c r="E31" s="2"/>
    </row>
    <row r="32" spans="1:5" ht="15.75" customHeight="1">
      <c r="A32" s="2"/>
      <c r="B32" s="2"/>
      <c r="C32" s="2"/>
      <c r="D32" s="2"/>
      <c r="E32" s="2"/>
    </row>
    <row r="33" spans="1:5" ht="15.75" customHeight="1">
      <c r="A33" s="2"/>
      <c r="B33" s="2"/>
      <c r="C33" s="2"/>
      <c r="D33" s="2"/>
      <c r="E33" s="2"/>
    </row>
    <row r="34" spans="1:5" ht="15.75" customHeight="1">
      <c r="A34" s="2"/>
      <c r="B34" s="2"/>
      <c r="C34" s="2"/>
      <c r="D34" s="2"/>
      <c r="E34" s="2"/>
    </row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88888"/>
  </sheetPr>
  <dimension ref="A1:G1000"/>
  <sheetViews>
    <sheetView showGridLines="0" workbookViewId="0"/>
  </sheetViews>
  <sheetFormatPr defaultColWidth="14.42578125" defaultRowHeight="15" customHeight="1"/>
  <cols>
    <col min="1" max="1" width="8" customWidth="1"/>
    <col min="2" max="2" width="18" customWidth="1"/>
    <col min="3" max="3" width="24" customWidth="1"/>
    <col min="4" max="4" width="30" customWidth="1"/>
    <col min="5" max="26" width="8.7109375" customWidth="1"/>
  </cols>
  <sheetData>
    <row r="1" spans="1:7">
      <c r="A1" s="1" t="s">
        <v>263</v>
      </c>
      <c r="B1" s="2"/>
      <c r="C1" s="2"/>
      <c r="D1" s="2"/>
      <c r="E1" s="2"/>
      <c r="F1" s="2"/>
      <c r="G1" s="2"/>
    </row>
    <row r="2" spans="1:7">
      <c r="A2" s="3" t="s">
        <v>1</v>
      </c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4" t="s">
        <v>264</v>
      </c>
      <c r="B4" s="4" t="s">
        <v>265</v>
      </c>
      <c r="C4" s="4" t="s">
        <v>266</v>
      </c>
      <c r="D4" s="4" t="s">
        <v>48</v>
      </c>
      <c r="E4" s="2"/>
      <c r="F4" s="2"/>
      <c r="G4" s="2"/>
    </row>
    <row r="5" spans="1:7" ht="18" customHeight="1">
      <c r="A5" s="5">
        <f t="shared" ref="A5:A12" si="0">IFERROR(ROW()-4,"")</f>
        <v>1</v>
      </c>
      <c r="B5" s="54" t="s">
        <v>267</v>
      </c>
      <c r="C5" s="8">
        <v>5</v>
      </c>
      <c r="D5" s="11"/>
      <c r="E5" s="2"/>
      <c r="F5" s="2"/>
      <c r="G5" s="2"/>
    </row>
    <row r="6" spans="1:7" ht="18" customHeight="1">
      <c r="A6" s="5">
        <f t="shared" si="0"/>
        <v>2</v>
      </c>
      <c r="B6" s="54" t="s">
        <v>268</v>
      </c>
      <c r="C6" s="8">
        <v>50</v>
      </c>
      <c r="D6" s="11"/>
      <c r="E6" s="2"/>
      <c r="F6" s="2"/>
      <c r="G6" s="2"/>
    </row>
    <row r="7" spans="1:7" ht="18" customHeight="1">
      <c r="A7" s="5">
        <f t="shared" si="0"/>
        <v>3</v>
      </c>
      <c r="B7" s="54" t="s">
        <v>269</v>
      </c>
      <c r="C7" s="8">
        <v>500</v>
      </c>
      <c r="D7" s="11"/>
      <c r="E7" s="2"/>
      <c r="F7" s="2"/>
      <c r="G7" s="2"/>
    </row>
    <row r="8" spans="1:7" ht="18" customHeight="1">
      <c r="A8" s="5">
        <f t="shared" si="0"/>
        <v>4</v>
      </c>
      <c r="B8" s="54" t="s">
        <v>270</v>
      </c>
      <c r="C8" s="8">
        <v>5000</v>
      </c>
      <c r="D8" s="11"/>
      <c r="E8" s="2"/>
      <c r="F8" s="2"/>
      <c r="G8" s="2"/>
    </row>
    <row r="9" spans="1:7" ht="18" customHeight="1">
      <c r="A9" s="5">
        <f t="shared" si="0"/>
        <v>5</v>
      </c>
      <c r="B9" s="54" t="s">
        <v>271</v>
      </c>
      <c r="C9" s="8">
        <v>50000</v>
      </c>
      <c r="D9" s="11"/>
      <c r="E9" s="2"/>
      <c r="F9" s="2"/>
      <c r="G9" s="2"/>
    </row>
    <row r="10" spans="1:7" ht="18" customHeight="1">
      <c r="A10" s="5">
        <f t="shared" si="0"/>
        <v>6</v>
      </c>
      <c r="B10" s="54" t="s">
        <v>272</v>
      </c>
      <c r="C10" s="8">
        <v>500000</v>
      </c>
      <c r="D10" s="11"/>
      <c r="E10" s="2"/>
      <c r="F10" s="2"/>
      <c r="G10" s="2"/>
    </row>
    <row r="11" spans="1:7" ht="18" customHeight="1">
      <c r="A11" s="5">
        <f t="shared" si="0"/>
        <v>7</v>
      </c>
      <c r="B11" s="54" t="s">
        <v>273</v>
      </c>
      <c r="C11" s="8">
        <v>5000000</v>
      </c>
      <c r="D11" s="11"/>
      <c r="E11" s="2"/>
      <c r="F11" s="2"/>
      <c r="G11" s="2"/>
    </row>
    <row r="12" spans="1:7" ht="18" customHeight="1">
      <c r="A12" s="5">
        <f t="shared" si="0"/>
        <v>8</v>
      </c>
      <c r="B12" s="54" t="s">
        <v>274</v>
      </c>
      <c r="C12" s="8">
        <v>50000000</v>
      </c>
      <c r="D12" s="11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88888"/>
  </sheetPr>
  <dimension ref="A1:C1000"/>
  <sheetViews>
    <sheetView showGridLines="0" workbookViewId="0"/>
  </sheetViews>
  <sheetFormatPr defaultColWidth="14.42578125" defaultRowHeight="15" customHeight="1"/>
  <cols>
    <col min="1" max="1" width="3" customWidth="1"/>
    <col min="2" max="2" width="85" customWidth="1"/>
    <col min="3" max="26" width="8.7109375" customWidth="1"/>
  </cols>
  <sheetData>
    <row r="1" spans="1:3">
      <c r="A1" s="2"/>
      <c r="B1" s="1" t="s">
        <v>275</v>
      </c>
      <c r="C1" s="2"/>
    </row>
    <row r="2" spans="1:3">
      <c r="A2" s="2"/>
      <c r="B2" s="2"/>
      <c r="C2" s="2"/>
    </row>
    <row r="3" spans="1:3" ht="19.5" customHeight="1">
      <c r="A3" s="45"/>
      <c r="B3" s="46" t="s">
        <v>276</v>
      </c>
      <c r="C3" s="2"/>
    </row>
    <row r="4" spans="1:3" ht="16.5" customHeight="1">
      <c r="A4" s="55"/>
      <c r="B4" s="56" t="s">
        <v>277</v>
      </c>
      <c r="C4" s="2"/>
    </row>
    <row r="5" spans="1:3" ht="16.5" customHeight="1">
      <c r="A5" s="55"/>
      <c r="B5" s="56" t="s">
        <v>278</v>
      </c>
      <c r="C5" s="2"/>
    </row>
    <row r="6" spans="1:3" ht="16.5" customHeight="1">
      <c r="A6" s="55"/>
      <c r="B6" s="56" t="s">
        <v>279</v>
      </c>
      <c r="C6" s="2"/>
    </row>
    <row r="7" spans="1:3" ht="16.5" customHeight="1">
      <c r="A7" s="55"/>
      <c r="B7" s="56" t="s">
        <v>280</v>
      </c>
      <c r="C7" s="2"/>
    </row>
    <row r="8" spans="1:3" ht="16.5" customHeight="1">
      <c r="A8" s="55"/>
      <c r="B8" s="56" t="s">
        <v>281</v>
      </c>
      <c r="C8" s="2"/>
    </row>
    <row r="9" spans="1:3" ht="16.5" customHeight="1">
      <c r="A9" s="55"/>
      <c r="B9" s="56" t="s">
        <v>282</v>
      </c>
      <c r="C9" s="2"/>
    </row>
    <row r="10" spans="1:3" ht="19.5" customHeight="1">
      <c r="A10" s="45"/>
      <c r="B10" s="46" t="s">
        <v>283</v>
      </c>
      <c r="C10" s="2"/>
    </row>
    <row r="11" spans="1:3" ht="16.5" customHeight="1">
      <c r="A11" s="55"/>
      <c r="B11" s="56" t="s">
        <v>284</v>
      </c>
      <c r="C11" s="2"/>
    </row>
    <row r="12" spans="1:3" ht="16.5" customHeight="1">
      <c r="A12" s="55"/>
      <c r="B12" s="56" t="s">
        <v>285</v>
      </c>
      <c r="C12" s="2"/>
    </row>
    <row r="13" spans="1:3" ht="19.5" customHeight="1">
      <c r="A13" s="45"/>
      <c r="B13" s="46" t="s">
        <v>286</v>
      </c>
      <c r="C13" s="2"/>
    </row>
    <row r="14" spans="1:3" ht="16.5" customHeight="1">
      <c r="A14" s="55"/>
      <c r="B14" s="56" t="s">
        <v>287</v>
      </c>
      <c r="C14" s="2"/>
    </row>
    <row r="15" spans="1:3" ht="16.5" customHeight="1">
      <c r="A15" s="55"/>
      <c r="B15" s="56" t="s">
        <v>288</v>
      </c>
      <c r="C15" s="2"/>
    </row>
    <row r="16" spans="1:3" ht="16.5" customHeight="1">
      <c r="A16" s="55"/>
      <c r="B16" s="56" t="s">
        <v>289</v>
      </c>
      <c r="C16" s="2"/>
    </row>
    <row r="17" spans="1:3" ht="19.5" customHeight="1">
      <c r="A17" s="45"/>
      <c r="B17" s="46" t="s">
        <v>290</v>
      </c>
      <c r="C17" s="2"/>
    </row>
    <row r="18" spans="1:3" ht="16.5" customHeight="1">
      <c r="A18" s="55"/>
      <c r="B18" s="56" t="s">
        <v>291</v>
      </c>
      <c r="C18" s="2"/>
    </row>
    <row r="19" spans="1:3" ht="16.5" customHeight="1">
      <c r="A19" s="55"/>
      <c r="B19" s="56" t="s">
        <v>292</v>
      </c>
      <c r="C19" s="2"/>
    </row>
    <row r="20" spans="1:3" ht="16.5" customHeight="1">
      <c r="A20" s="55"/>
      <c r="B20" s="56" t="s">
        <v>293</v>
      </c>
      <c r="C20" s="2"/>
    </row>
    <row r="21" spans="1:3" ht="19.5" customHeight="1">
      <c r="A21" s="45"/>
      <c r="B21" s="46" t="s">
        <v>294</v>
      </c>
      <c r="C21" s="2"/>
    </row>
    <row r="22" spans="1:3" ht="16.5" customHeight="1">
      <c r="A22" s="55"/>
      <c r="B22" s="56" t="s">
        <v>295</v>
      </c>
      <c r="C22" s="2"/>
    </row>
    <row r="23" spans="1:3" ht="16.5" customHeight="1">
      <c r="A23" s="55"/>
      <c r="B23" s="56" t="s">
        <v>296</v>
      </c>
      <c r="C23" s="2"/>
    </row>
    <row r="24" spans="1:3" ht="16.5" customHeight="1">
      <c r="A24" s="55"/>
      <c r="B24" s="56" t="s">
        <v>297</v>
      </c>
      <c r="C24" s="2"/>
    </row>
    <row r="25" spans="1:3" ht="16.5" customHeight="1">
      <c r="A25" s="55"/>
      <c r="B25" s="56" t="s">
        <v>298</v>
      </c>
      <c r="C25" s="2"/>
    </row>
    <row r="26" spans="1:3" ht="15.75" customHeight="1">
      <c r="A26" s="2"/>
      <c r="B26" s="2"/>
      <c r="C26" s="2"/>
    </row>
    <row r="27" spans="1:3" ht="15.75" customHeight="1">
      <c r="A27" s="2"/>
      <c r="B27" s="2"/>
      <c r="C27" s="2"/>
    </row>
    <row r="28" spans="1:3" ht="15.75" customHeight="1">
      <c r="A28" s="2"/>
      <c r="B28" s="2"/>
      <c r="C28" s="2"/>
    </row>
    <row r="29" spans="1:3" ht="15.75" customHeight="1">
      <c r="A29" s="2"/>
      <c r="B29" s="2"/>
      <c r="C29" s="2"/>
    </row>
    <row r="30" spans="1:3" ht="15.75" customHeight="1">
      <c r="A30" s="2"/>
      <c r="B30" s="2"/>
      <c r="C30" s="2"/>
    </row>
    <row r="31" spans="1:3" ht="15.75" customHeight="1">
      <c r="A31" s="2"/>
      <c r="B31" s="2"/>
      <c r="C31" s="2"/>
    </row>
    <row r="32" spans="1:3" ht="15.75" customHeight="1">
      <c r="A32" s="2"/>
      <c r="B32" s="2"/>
      <c r="C32" s="2"/>
    </row>
    <row r="33" spans="1:3" ht="15.75" customHeight="1">
      <c r="A33" s="2"/>
      <c r="B33" s="2"/>
      <c r="C33" s="2"/>
    </row>
    <row r="34" spans="1:3" ht="15.75" customHeight="1">
      <c r="A34" s="2"/>
      <c r="B34" s="2"/>
      <c r="C34" s="2"/>
    </row>
    <row r="35" spans="1:3" ht="15.75" customHeight="1"/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Kimmo Goeke</cp:lastModifiedBy>
  <cp:revision/>
  <dcterms:created xsi:type="dcterms:W3CDTF">2026-03-15T16:32:35Z</dcterms:created>
  <dcterms:modified xsi:type="dcterms:W3CDTF">2026-03-15T16:32:35Z</dcterms:modified>
  <cp:category/>
  <cp:contentStatus/>
</cp:coreProperties>
</file>